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filterPrivacy="1"/>
  <xr:revisionPtr revIDLastSave="0" documentId="13_ncr:1_{09C65BA7-49D9-C44B-AB59-846C0BE958E0}" xr6:coauthVersionLast="47" xr6:coauthVersionMax="47" xr10:uidLastSave="{00000000-0000-0000-0000-000000000000}"/>
  <bookViews>
    <workbookView xWindow="0" yWindow="660" windowWidth="29400" windowHeight="17300" activeTab="1" xr2:uid="{00000000-000D-0000-FFFF-FFFF00000000}"/>
  </bookViews>
  <sheets>
    <sheet name="RAW" sheetId="1" r:id="rId1"/>
    <sheet name="Wal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H7" i="2"/>
  <c r="C8" i="2"/>
  <c r="D8" i="2"/>
  <c r="E8" i="2"/>
  <c r="F8" i="2"/>
  <c r="H8" i="2"/>
  <c r="C9" i="2"/>
  <c r="D9" i="2"/>
  <c r="E9" i="2"/>
  <c r="F9" i="2"/>
  <c r="H9" i="2"/>
  <c r="C10" i="2"/>
  <c r="D10" i="2"/>
  <c r="E10" i="2"/>
  <c r="F10" i="2"/>
  <c r="H10" i="2"/>
  <c r="C11" i="2"/>
  <c r="D11" i="2"/>
  <c r="E11" i="2"/>
  <c r="F11" i="2"/>
  <c r="H11" i="2"/>
  <c r="C12" i="2"/>
  <c r="D12" i="2"/>
  <c r="E12" i="2"/>
  <c r="F12" i="2"/>
  <c r="H12" i="2"/>
  <c r="C13" i="2"/>
  <c r="D13" i="2"/>
  <c r="E13" i="2"/>
  <c r="F13" i="2"/>
  <c r="H13" i="2"/>
  <c r="C14" i="2"/>
  <c r="D14" i="2"/>
  <c r="E14" i="2"/>
  <c r="F14" i="2"/>
  <c r="H14" i="2"/>
  <c r="C15" i="2"/>
  <c r="D15" i="2"/>
  <c r="E15" i="2"/>
  <c r="F15" i="2"/>
  <c r="H15" i="2"/>
  <c r="C16" i="2"/>
  <c r="D16" i="2"/>
  <c r="E16" i="2"/>
  <c r="F16" i="2"/>
  <c r="H16" i="2"/>
  <c r="C17" i="2"/>
  <c r="D17" i="2"/>
  <c r="E17" i="2"/>
  <c r="F17" i="2"/>
  <c r="H17" i="2"/>
  <c r="C18" i="2"/>
  <c r="D18" i="2"/>
  <c r="E18" i="2"/>
  <c r="F18" i="2"/>
  <c r="H18" i="2"/>
  <c r="C19" i="2"/>
  <c r="D19" i="2"/>
  <c r="E19" i="2"/>
  <c r="F19" i="2"/>
  <c r="H19" i="2"/>
  <c r="C20" i="2"/>
  <c r="D20" i="2"/>
  <c r="E20" i="2"/>
  <c r="F20" i="2"/>
  <c r="H20" i="2"/>
  <c r="C21" i="2"/>
  <c r="D21" i="2"/>
  <c r="E21" i="2"/>
  <c r="F21" i="2"/>
  <c r="H21" i="2"/>
  <c r="C22" i="2"/>
  <c r="D22" i="2"/>
  <c r="E22" i="2"/>
  <c r="F22" i="2"/>
  <c r="H22" i="2"/>
  <c r="C23" i="2"/>
  <c r="D23" i="2"/>
  <c r="E23" i="2"/>
  <c r="F23" i="2"/>
  <c r="H23" i="2"/>
  <c r="C24" i="2"/>
  <c r="D24" i="2"/>
  <c r="E24" i="2"/>
  <c r="F24" i="2"/>
  <c r="H24" i="2"/>
  <c r="C25" i="2"/>
  <c r="D25" i="2"/>
  <c r="E25" i="2"/>
  <c r="F25" i="2"/>
  <c r="H25" i="2"/>
  <c r="C26" i="2"/>
  <c r="D26" i="2"/>
  <c r="E26" i="2"/>
  <c r="F26" i="2"/>
  <c r="H26" i="2"/>
  <c r="C27" i="2"/>
  <c r="D27" i="2"/>
  <c r="E27" i="2"/>
  <c r="F27" i="2"/>
  <c r="H27" i="2"/>
  <c r="C28" i="2"/>
  <c r="D28" i="2"/>
  <c r="E28" i="2"/>
  <c r="F28" i="2"/>
  <c r="H28" i="2"/>
  <c r="C29" i="2"/>
  <c r="D29" i="2"/>
  <c r="E29" i="2"/>
  <c r="F29" i="2"/>
  <c r="H29" i="2"/>
  <c r="C30" i="2"/>
  <c r="D30" i="2"/>
  <c r="E30" i="2"/>
  <c r="F30" i="2"/>
  <c r="H30" i="2"/>
  <c r="C31" i="2"/>
  <c r="D31" i="2"/>
  <c r="E31" i="2"/>
  <c r="F31" i="2"/>
  <c r="H31" i="2"/>
  <c r="C32" i="2"/>
  <c r="D32" i="2"/>
  <c r="E32" i="2"/>
  <c r="F32" i="2"/>
  <c r="H32" i="2"/>
  <c r="C33" i="2"/>
  <c r="D33" i="2"/>
  <c r="E33" i="2"/>
  <c r="F33" i="2"/>
  <c r="H33" i="2"/>
  <c r="C34" i="2"/>
  <c r="D34" i="2"/>
  <c r="E34" i="2"/>
  <c r="F34" i="2"/>
  <c r="H34" i="2"/>
  <c r="C35" i="2"/>
  <c r="D35" i="2"/>
  <c r="E35" i="2"/>
  <c r="F35" i="2"/>
  <c r="H35" i="2"/>
  <c r="C36" i="2"/>
  <c r="D36" i="2"/>
  <c r="E36" i="2"/>
  <c r="F36" i="2"/>
  <c r="H36" i="2"/>
  <c r="C37" i="2"/>
  <c r="D37" i="2"/>
  <c r="E37" i="2"/>
  <c r="F37" i="2"/>
  <c r="H37" i="2"/>
  <c r="C38" i="2"/>
  <c r="D38" i="2"/>
  <c r="E38" i="2"/>
  <c r="F38" i="2"/>
  <c r="H38" i="2"/>
  <c r="C39" i="2"/>
  <c r="D39" i="2"/>
  <c r="E39" i="2"/>
  <c r="F39" i="2"/>
  <c r="H39" i="2"/>
  <c r="C40" i="2"/>
  <c r="D40" i="2"/>
  <c r="E40" i="2"/>
  <c r="F40" i="2"/>
  <c r="H40" i="2"/>
  <c r="C41" i="2"/>
  <c r="D41" i="2"/>
  <c r="E41" i="2"/>
  <c r="F41" i="2"/>
  <c r="H41" i="2"/>
  <c r="C42" i="2"/>
  <c r="D42" i="2"/>
  <c r="E42" i="2"/>
  <c r="F42" i="2"/>
  <c r="H42" i="2"/>
  <c r="C43" i="2"/>
  <c r="D43" i="2"/>
  <c r="E43" i="2"/>
  <c r="F43" i="2"/>
  <c r="H43" i="2"/>
  <c r="C44" i="2"/>
  <c r="D44" i="2"/>
  <c r="E44" i="2"/>
  <c r="F44" i="2"/>
  <c r="H44" i="2"/>
  <c r="C45" i="2"/>
  <c r="D45" i="2"/>
  <c r="E45" i="2"/>
  <c r="F45" i="2"/>
  <c r="H45" i="2"/>
  <c r="C46" i="2"/>
  <c r="D46" i="2"/>
  <c r="E46" i="2"/>
  <c r="F46" i="2"/>
  <c r="H46" i="2"/>
  <c r="C47" i="2"/>
  <c r="D47" i="2"/>
  <c r="E47" i="2"/>
  <c r="F47" i="2"/>
  <c r="H47" i="2"/>
  <c r="C48" i="2"/>
  <c r="D48" i="2"/>
  <c r="E48" i="2"/>
  <c r="F48" i="2"/>
  <c r="H48" i="2"/>
  <c r="C49" i="2"/>
  <c r="D49" i="2"/>
  <c r="E49" i="2"/>
  <c r="F49" i="2"/>
  <c r="H49" i="2"/>
  <c r="C50" i="2"/>
  <c r="D50" i="2"/>
  <c r="E50" i="2"/>
  <c r="F50" i="2"/>
  <c r="H50" i="2"/>
  <c r="C51" i="2"/>
  <c r="D51" i="2"/>
  <c r="E51" i="2"/>
  <c r="F51" i="2"/>
  <c r="H51" i="2"/>
  <c r="C52" i="2"/>
  <c r="D52" i="2"/>
  <c r="E52" i="2"/>
  <c r="F52" i="2"/>
  <c r="H52" i="2"/>
  <c r="C53" i="2"/>
  <c r="D53" i="2"/>
  <c r="E53" i="2"/>
  <c r="F53" i="2"/>
  <c r="H53" i="2"/>
  <c r="C54" i="2"/>
  <c r="D54" i="2"/>
  <c r="E54" i="2"/>
  <c r="F54" i="2"/>
  <c r="H54" i="2"/>
  <c r="C55" i="2"/>
  <c r="D55" i="2"/>
  <c r="E55" i="2"/>
  <c r="F55" i="2"/>
  <c r="H55" i="2"/>
  <c r="C56" i="2"/>
  <c r="D56" i="2"/>
  <c r="E56" i="2"/>
  <c r="F56" i="2"/>
  <c r="H56" i="2"/>
  <c r="C57" i="2"/>
  <c r="D57" i="2"/>
  <c r="E57" i="2"/>
  <c r="F57" i="2"/>
  <c r="H57" i="2"/>
  <c r="C58" i="2"/>
  <c r="D58" i="2"/>
  <c r="E58" i="2"/>
  <c r="F58" i="2"/>
  <c r="H58" i="2"/>
  <c r="C59" i="2"/>
  <c r="D59" i="2"/>
  <c r="E59" i="2"/>
  <c r="F59" i="2"/>
  <c r="H59" i="2"/>
  <c r="C60" i="2"/>
  <c r="D60" i="2"/>
  <c r="E60" i="2"/>
  <c r="F60" i="2"/>
  <c r="H60" i="2"/>
  <c r="C61" i="2"/>
  <c r="D61" i="2"/>
  <c r="E61" i="2"/>
  <c r="F61" i="2"/>
  <c r="H61" i="2"/>
  <c r="C62" i="2"/>
  <c r="D62" i="2"/>
  <c r="E62" i="2"/>
  <c r="F62" i="2"/>
  <c r="H62" i="2"/>
  <c r="C63" i="2"/>
  <c r="D63" i="2"/>
  <c r="E63" i="2"/>
  <c r="F63" i="2"/>
  <c r="H63" i="2"/>
  <c r="C64" i="2"/>
  <c r="D64" i="2"/>
  <c r="E64" i="2"/>
  <c r="F64" i="2"/>
  <c r="H64" i="2"/>
  <c r="C65" i="2"/>
  <c r="D65" i="2"/>
  <c r="E65" i="2"/>
  <c r="F65" i="2"/>
  <c r="H65" i="2"/>
  <c r="C66" i="2"/>
  <c r="D66" i="2"/>
  <c r="E66" i="2"/>
  <c r="F66" i="2"/>
  <c r="H66" i="2"/>
  <c r="C67" i="2"/>
  <c r="D67" i="2"/>
  <c r="E67" i="2"/>
  <c r="F67" i="2"/>
  <c r="H67" i="2"/>
  <c r="C68" i="2"/>
  <c r="D68" i="2"/>
  <c r="E68" i="2"/>
  <c r="F68" i="2"/>
  <c r="H68" i="2"/>
  <c r="C69" i="2"/>
  <c r="D69" i="2"/>
  <c r="E69" i="2"/>
  <c r="F69" i="2"/>
  <c r="H69" i="2"/>
  <c r="C70" i="2"/>
  <c r="D70" i="2"/>
  <c r="E70" i="2"/>
  <c r="F70" i="2"/>
  <c r="H70" i="2"/>
  <c r="C71" i="2"/>
  <c r="D71" i="2"/>
  <c r="E71" i="2"/>
  <c r="F71" i="2"/>
  <c r="H71" i="2"/>
  <c r="C72" i="2"/>
  <c r="D72" i="2"/>
  <c r="E72" i="2"/>
  <c r="F72" i="2"/>
  <c r="H72" i="2"/>
  <c r="C73" i="2"/>
  <c r="D73" i="2"/>
  <c r="E73" i="2"/>
  <c r="F73" i="2"/>
  <c r="H73" i="2"/>
  <c r="C74" i="2"/>
  <c r="D74" i="2"/>
  <c r="E74" i="2"/>
  <c r="F74" i="2"/>
  <c r="H74" i="2"/>
  <c r="C75" i="2"/>
  <c r="D75" i="2"/>
  <c r="E75" i="2"/>
  <c r="F75" i="2"/>
  <c r="H75" i="2"/>
  <c r="C76" i="2"/>
  <c r="D76" i="2"/>
  <c r="E76" i="2"/>
  <c r="F76" i="2"/>
  <c r="H76" i="2"/>
  <c r="C77" i="2"/>
  <c r="D77" i="2"/>
  <c r="E77" i="2"/>
  <c r="F77" i="2"/>
  <c r="H77" i="2"/>
  <c r="C78" i="2"/>
  <c r="D78" i="2"/>
  <c r="E78" i="2"/>
  <c r="F78" i="2"/>
  <c r="H78" i="2"/>
  <c r="C79" i="2"/>
  <c r="D79" i="2"/>
  <c r="E79" i="2"/>
  <c r="F79" i="2"/>
  <c r="H79" i="2"/>
  <c r="C80" i="2"/>
  <c r="D80" i="2"/>
  <c r="E80" i="2"/>
  <c r="F80" i="2"/>
  <c r="H80" i="2"/>
  <c r="C81" i="2"/>
  <c r="D81" i="2"/>
  <c r="E81" i="2"/>
  <c r="F81" i="2"/>
  <c r="H81" i="2"/>
  <c r="C82" i="2"/>
  <c r="D82" i="2"/>
  <c r="E82" i="2"/>
  <c r="F82" i="2"/>
  <c r="H82" i="2"/>
  <c r="C83" i="2"/>
  <c r="D83" i="2"/>
  <c r="E83" i="2"/>
  <c r="F83" i="2"/>
  <c r="H83" i="2"/>
  <c r="C84" i="2"/>
  <c r="D84" i="2"/>
  <c r="E84" i="2"/>
  <c r="F84" i="2"/>
  <c r="H84" i="2"/>
  <c r="C85" i="2"/>
  <c r="D85" i="2"/>
  <c r="E85" i="2"/>
  <c r="F85" i="2"/>
  <c r="H85" i="2"/>
  <c r="C86" i="2"/>
  <c r="D86" i="2"/>
  <c r="E86" i="2"/>
  <c r="F86" i="2"/>
  <c r="H86" i="2"/>
  <c r="C87" i="2"/>
  <c r="D87" i="2"/>
  <c r="E87" i="2"/>
  <c r="F87" i="2"/>
  <c r="H87" i="2"/>
  <c r="C88" i="2"/>
  <c r="D88" i="2"/>
  <c r="E88" i="2"/>
  <c r="F88" i="2"/>
  <c r="H88" i="2"/>
  <c r="C89" i="2"/>
  <c r="D89" i="2"/>
  <c r="E89" i="2"/>
  <c r="F89" i="2"/>
  <c r="H89" i="2"/>
  <c r="C90" i="2"/>
  <c r="D90" i="2"/>
  <c r="E90" i="2"/>
  <c r="F90" i="2"/>
  <c r="H90" i="2"/>
  <c r="C91" i="2"/>
  <c r="D91" i="2"/>
  <c r="E91" i="2"/>
  <c r="F91" i="2"/>
  <c r="H91" i="2"/>
  <c r="C92" i="2"/>
  <c r="D92" i="2"/>
  <c r="E92" i="2"/>
  <c r="F92" i="2"/>
  <c r="H92" i="2"/>
  <c r="C93" i="2"/>
  <c r="D93" i="2"/>
  <c r="E93" i="2"/>
  <c r="F93" i="2"/>
  <c r="H93" i="2"/>
  <c r="C94" i="2"/>
  <c r="D94" i="2"/>
  <c r="E94" i="2"/>
  <c r="F94" i="2"/>
  <c r="H94" i="2"/>
  <c r="C95" i="2"/>
  <c r="D95" i="2"/>
  <c r="E95" i="2"/>
  <c r="F95" i="2"/>
  <c r="H95" i="2"/>
  <c r="C96" i="2"/>
  <c r="D96" i="2"/>
  <c r="E96" i="2"/>
  <c r="F96" i="2"/>
  <c r="H96" i="2"/>
  <c r="C97" i="2"/>
  <c r="D97" i="2"/>
  <c r="E97" i="2"/>
  <c r="F97" i="2"/>
  <c r="H97" i="2"/>
  <c r="C98" i="2"/>
  <c r="D98" i="2"/>
  <c r="E98" i="2"/>
  <c r="F98" i="2"/>
  <c r="H98" i="2"/>
  <c r="C99" i="2"/>
  <c r="D99" i="2"/>
  <c r="E99" i="2"/>
  <c r="F99" i="2"/>
  <c r="H99" i="2"/>
  <c r="C100" i="2"/>
  <c r="D100" i="2"/>
  <c r="E100" i="2"/>
  <c r="F100" i="2"/>
  <c r="H100" i="2"/>
  <c r="C101" i="2"/>
  <c r="D101" i="2"/>
  <c r="E101" i="2"/>
  <c r="F101" i="2"/>
  <c r="H101" i="2"/>
  <c r="C102" i="2"/>
  <c r="D102" i="2"/>
  <c r="E102" i="2"/>
  <c r="F102" i="2"/>
  <c r="H102" i="2"/>
  <c r="C103" i="2"/>
  <c r="D103" i="2"/>
  <c r="E103" i="2"/>
  <c r="F103" i="2"/>
  <c r="H103" i="2"/>
  <c r="C104" i="2"/>
  <c r="D104" i="2"/>
  <c r="E104" i="2"/>
  <c r="F104" i="2"/>
  <c r="H104" i="2"/>
  <c r="H6" i="2"/>
  <c r="F6" i="2"/>
  <c r="E6" i="2"/>
  <c r="D6" i="2"/>
  <c r="C6" i="2"/>
  <c r="A3" i="2"/>
  <c r="A1" i="2"/>
  <c r="J3" i="2" l="1"/>
</calcChain>
</file>

<file path=xl/sharedStrings.xml><?xml version="1.0" encoding="utf-8"?>
<sst xmlns="http://schemas.openxmlformats.org/spreadsheetml/2006/main" count="409" uniqueCount="173">
  <si>
    <t>BAS</t>
  </si>
  <si>
    <t>Direction: SURVEY_IN</t>
  </si>
  <si>
    <t>Unit: Metric</t>
  </si>
  <si>
    <t>Date: 2018-01-26</t>
  </si>
  <si>
    <t>typeShot</t>
  </si>
  <si>
    <t>length</t>
  </si>
  <si>
    <t>headingIn</t>
  </si>
  <si>
    <t>headingOut</t>
  </si>
  <si>
    <t>pitchIn</t>
  </si>
  <si>
    <t>pitchOut</t>
  </si>
  <si>
    <t>depthIn</t>
  </si>
  <si>
    <t>depthOut</t>
  </si>
  <si>
    <t>STD</t>
  </si>
  <si>
    <t>#UNITS meters ORDER=DA Tape=SS</t>
  </si>
  <si>
    <t xml:space="preserve">To </t>
  </si>
  <si>
    <t xml:space="preserve">Dist </t>
  </si>
  <si>
    <t xml:space="preserve">D-From  </t>
  </si>
  <si>
    <t>D-To</t>
  </si>
  <si>
    <t xml:space="preserve">Az </t>
  </si>
  <si>
    <t>LRUD</t>
  </si>
  <si>
    <t>Comment</t>
  </si>
  <si>
    <t xml:space="preserve">; From </t>
  </si>
  <si>
    <t>&lt;0,0,0,0&gt;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</si>
  <si>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</si>
  <si>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</si>
  <si>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</si>
  <si>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</si>
  <si>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</si>
  <si>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</si>
  <si>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</si>
  <si>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</si>
  <si>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</si>
  <si>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</si>
  <si>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</si>
  <si>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</si>
  <si>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</si>
  <si>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</si>
  <si>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</si>
  <si>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</si>
  <si>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</si>
  <si>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</si>
  <si>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</si>
  <si>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</si>
  <si>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</si>
  <si>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</si>
  <si>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</si>
  <si>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</si>
  <si>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</si>
  <si>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</si>
  <si>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</si>
  <si>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</si>
  <si>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</si>
  <si>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</si>
  <si>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</si>
  <si>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</si>
  <si>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</si>
  <si>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</si>
  <si>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</si>
  <si>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</si>
  <si>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</si>
  <si>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</si>
  <si>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</si>
  <si>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</si>
  <si>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</si>
  <si>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</si>
  <si>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</si>
  <si>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</si>
  <si>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</si>
  <si>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</si>
  <si>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</si>
  <si>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</si>
  <si>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</si>
  <si>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</si>
  <si>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</si>
  <si>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</si>
  <si>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</si>
  <si>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</si>
  <si>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</si>
  <si>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</si>
  <si>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</si>
  <si>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</si>
  <si>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</si>
  <si>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</si>
  <si>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</si>
  <si>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</si>
  <si>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</si>
  <si>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</si>
  <si>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</si>
  <si>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</si>
  <si>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</si>
  <si>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</si>
  <si>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</si>
  <si>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</si>
  <si>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</si>
  <si>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</si>
  <si>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</si>
  <si>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</si>
  <si>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</si>
  <si>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</si>
  <si>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</si>
  <si>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</si>
  <si>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</si>
  <si>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</si>
  <si>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</si>
  <si>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</si>
  <si>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</si>
  <si>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</si>
  <si>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</si>
  <si>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</si>
  <si>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</si>
  <si>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</si>
  <si>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</si>
  <si>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</si>
  <si>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</si>
  <si>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</si>
  <si>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</si>
  <si>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</si>
  <si>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</si>
  <si>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</si>
  <si>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</si>
  <si>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</si>
  <si>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</si>
  <si>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</si>
  <si>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Merjeno V jamo. Od pritrdišča starega štrika do prvega podora.</t>
  </si>
  <si>
    <t>; Team: Matej Korsic, Anze Abram</t>
  </si>
  <si>
    <t>B10</t>
  </si>
  <si>
    <t>Direction: surveyIn</t>
  </si>
  <si>
    <t>Unit: metric</t>
  </si>
  <si>
    <t>Date: 2025-04-03</t>
  </si>
  <si>
    <t>TypeShot</t>
  </si>
  <si>
    <t>Length</t>
  </si>
  <si>
    <t>Depth IN</t>
  </si>
  <si>
    <t>Depth OUT</t>
  </si>
  <si>
    <t>Heading IN</t>
  </si>
  <si>
    <t>Heading OUT</t>
  </si>
  <si>
    <t>Pitch IN</t>
  </si>
  <si>
    <t>Pitch OUT</t>
  </si>
  <si>
    <t>Left</t>
  </si>
  <si>
    <t>Right</t>
  </si>
  <si>
    <t>Up</t>
  </si>
  <si>
    <t>Down</t>
  </si>
  <si>
    <t>Temperature</t>
  </si>
  <si>
    <t>Time</t>
  </si>
  <si>
    <t>Marker</t>
  </si>
  <si>
    <t>std</t>
  </si>
  <si>
    <t>2025-04-03T22:58:11.000</t>
  </si>
  <si>
    <t>2025-04-03T23:02:34.000</t>
  </si>
  <si>
    <t>2025-04-03T23:06:49.000</t>
  </si>
  <si>
    <t>2025-04-03T23:11:21.000</t>
  </si>
  <si>
    <t>2025-04-03T23:13:22.000</t>
  </si>
  <si>
    <t>2025-04-03T23:15:44.000</t>
  </si>
  <si>
    <t>2025-04-03T23:17:10.000</t>
  </si>
  <si>
    <t>2025-04-03T23:18:41.000</t>
  </si>
  <si>
    <t>2025-04-03T23:22:02.000</t>
  </si>
  <si>
    <t>2025-04-03T23:24:19.000</t>
  </si>
  <si>
    <t>2025-04-03T23:26:06.000</t>
  </si>
  <si>
    <t>2025-04-03T23:29:11.000</t>
  </si>
  <si>
    <t>2025-04-03T23:30:00.000</t>
  </si>
  <si>
    <t>2025-04-03T23:31:20.000</t>
  </si>
  <si>
    <t>2025-04-03T23:34:20.000</t>
  </si>
  <si>
    <t>2025-04-03T23:37:54.000</t>
  </si>
  <si>
    <t>2025-04-03T23:40:53.000</t>
  </si>
  <si>
    <t>2025-04-03T23:41:28.000</t>
  </si>
  <si>
    <t>2025-04-03T23:44:42.000</t>
  </si>
  <si>
    <t>2025-04-03T23:45:08.000</t>
  </si>
  <si>
    <t>2025-04-03T23:47:14.000</t>
  </si>
  <si>
    <t>2025-04-03T23:48:32.000</t>
  </si>
  <si>
    <t>2025-04-03T23:49:58.000</t>
  </si>
  <si>
    <t>2025-04-03T23:51:19.000</t>
  </si>
  <si>
    <t>2025-04-03T23:53:24.000</t>
  </si>
  <si>
    <t>2025-04-03T23:54:29.000</t>
  </si>
  <si>
    <t>eoc</t>
  </si>
  <si>
    <t>2025-04-03T00:00:00.000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</si>
</sst>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workbookViewId="0">
      <selection activeCell="P6" sqref="P6"/>
    </sheetView>
  </sheetViews>
  <sheetFormatPr baseColWidth="10" defaultColWidth="8.83203125" defaultRowHeight="15" x14ac:dyDescent="0.2"/>
  <sheetData>
    <row r="1" spans="1:26" x14ac:dyDescent="0.2">
      <c r="A1" s="2" t="s">
        <v>125</v>
      </c>
      <c r="S1" t="s">
        <v>123</v>
      </c>
    </row>
    <row r="2" spans="1:26" x14ac:dyDescent="0.2">
      <c r="A2" s="2" t="s">
        <v>126</v>
      </c>
      <c r="B2" s="2" t="s">
        <v>127</v>
      </c>
      <c r="S2" t="s">
        <v>0</v>
      </c>
    </row>
    <row r="3" spans="1:26" x14ac:dyDescent="0.2">
      <c r="A3" s="2" t="s">
        <v>128</v>
      </c>
      <c r="S3" t="s">
        <v>1</v>
      </c>
      <c r="T3" t="s">
        <v>2</v>
      </c>
    </row>
    <row r="4" spans="1:26" x14ac:dyDescent="0.2">
      <c r="S4" t="s">
        <v>3</v>
      </c>
    </row>
    <row r="5" spans="1:26" x14ac:dyDescent="0.2">
      <c r="A5" s="2" t="s">
        <v>129</v>
      </c>
      <c r="B5" s="2" t="s">
        <v>130</v>
      </c>
      <c r="C5" s="2" t="s">
        <v>131</v>
      </c>
      <c r="D5" s="2" t="s">
        <v>132</v>
      </c>
      <c r="E5" s="2" t="s">
        <v>133</v>
      </c>
      <c r="F5" s="2" t="s">
        <v>134</v>
      </c>
      <c r="G5" s="2" t="s">
        <v>135</v>
      </c>
      <c r="H5" s="2" t="s">
        <v>136</v>
      </c>
      <c r="I5" s="2" t="s">
        <v>137</v>
      </c>
      <c r="J5" s="2" t="s">
        <v>138</v>
      </c>
      <c r="K5" s="2" t="s">
        <v>139</v>
      </c>
      <c r="L5" s="2" t="s">
        <v>140</v>
      </c>
      <c r="M5" s="2" t="s">
        <v>141</v>
      </c>
      <c r="N5" s="2" t="s">
        <v>142</v>
      </c>
      <c r="O5" s="2" t="s">
        <v>143</v>
      </c>
    </row>
    <row r="6" spans="1:26" x14ac:dyDescent="0.2">
      <c r="A6" s="2" t="s">
        <v>144</v>
      </c>
      <c r="B6" s="2">
        <v>12.3</v>
      </c>
      <c r="C6" s="2">
        <v>0.81</v>
      </c>
      <c r="D6" s="2">
        <v>1.72</v>
      </c>
      <c r="E6" s="2">
        <v>238.8</v>
      </c>
      <c r="F6" s="2">
        <v>237.2</v>
      </c>
      <c r="G6" s="2">
        <v>4.9000000000000004</v>
      </c>
      <c r="H6" s="2">
        <v>11.6</v>
      </c>
      <c r="I6" s="2">
        <v>0</v>
      </c>
      <c r="J6" s="2">
        <v>0</v>
      </c>
      <c r="K6" s="2">
        <v>0</v>
      </c>
      <c r="L6" s="2">
        <v>0</v>
      </c>
      <c r="M6" s="2">
        <v>13.3</v>
      </c>
      <c r="N6" s="2" t="s">
        <v>145</v>
      </c>
      <c r="O6" s="2">
        <v>0</v>
      </c>
      <c r="S6" t="s">
        <v>4</v>
      </c>
      <c r="T6" t="s">
        <v>5</v>
      </c>
      <c r="U6" t="s">
        <v>6</v>
      </c>
      <c r="V6" t="s">
        <v>7</v>
      </c>
      <c r="W6" t="s">
        <v>8</v>
      </c>
      <c r="X6" t="s">
        <v>9</v>
      </c>
      <c r="Y6" t="s">
        <v>10</v>
      </c>
      <c r="Z6" t="s">
        <v>11</v>
      </c>
    </row>
    <row r="7" spans="1:26" x14ac:dyDescent="0.2">
      <c r="A7" s="2" t="s">
        <v>144</v>
      </c>
      <c r="B7" s="2">
        <v>23.86</v>
      </c>
      <c r="C7" s="2">
        <v>1.82</v>
      </c>
      <c r="D7" s="2">
        <v>0.86</v>
      </c>
      <c r="E7" s="2">
        <v>234.2</v>
      </c>
      <c r="F7" s="2">
        <v>234.4</v>
      </c>
      <c r="G7" s="2">
        <v>-4.7</v>
      </c>
      <c r="H7" s="2">
        <v>2.7</v>
      </c>
      <c r="I7" s="2">
        <v>0</v>
      </c>
      <c r="J7" s="2">
        <v>0</v>
      </c>
      <c r="K7" s="2">
        <v>0</v>
      </c>
      <c r="L7" s="2">
        <v>0</v>
      </c>
      <c r="M7" s="2">
        <v>13.5</v>
      </c>
      <c r="N7" s="2" t="s">
        <v>146</v>
      </c>
      <c r="O7" s="2">
        <v>0</v>
      </c>
      <c r="S7" t="s">
        <v>12</v>
      </c>
      <c r="T7">
        <v>12.37</v>
      </c>
      <c r="U7">
        <v>200.7</v>
      </c>
      <c r="V7">
        <v>202.6</v>
      </c>
      <c r="W7">
        <v>-1.7</v>
      </c>
      <c r="X7">
        <v>14.4</v>
      </c>
      <c r="Y7">
        <v>-0.35</v>
      </c>
      <c r="Z7">
        <v>1.04</v>
      </c>
    </row>
    <row r="8" spans="1:26" x14ac:dyDescent="0.2">
      <c r="A8" s="2" t="s">
        <v>144</v>
      </c>
      <c r="B8" s="2">
        <v>10.48</v>
      </c>
      <c r="C8" s="2">
        <v>0.88</v>
      </c>
      <c r="D8" s="2">
        <v>2.7</v>
      </c>
      <c r="E8" s="2">
        <v>238.8</v>
      </c>
      <c r="F8" s="2">
        <v>219</v>
      </c>
      <c r="G8" s="2">
        <v>2.7</v>
      </c>
      <c r="H8" s="2">
        <v>11.6</v>
      </c>
      <c r="I8" s="2">
        <v>0</v>
      </c>
      <c r="J8" s="2">
        <v>0</v>
      </c>
      <c r="K8" s="2">
        <v>0</v>
      </c>
      <c r="L8" s="2">
        <v>0</v>
      </c>
      <c r="M8" s="2">
        <v>13.7</v>
      </c>
      <c r="N8" s="2" t="s">
        <v>147</v>
      </c>
      <c r="O8" s="2">
        <v>0</v>
      </c>
      <c r="S8" t="s">
        <v>12</v>
      </c>
      <c r="T8">
        <v>4.8</v>
      </c>
      <c r="U8">
        <v>196.6</v>
      </c>
      <c r="V8">
        <v>198.6</v>
      </c>
      <c r="W8">
        <v>29.6</v>
      </c>
      <c r="X8">
        <v>6.7</v>
      </c>
      <c r="Y8">
        <v>0.92</v>
      </c>
      <c r="Z8">
        <v>-0.28999999999999998</v>
      </c>
    </row>
    <row r="9" spans="1:26" x14ac:dyDescent="0.2">
      <c r="A9" s="2" t="s">
        <v>144</v>
      </c>
      <c r="B9" s="2">
        <v>5.83</v>
      </c>
      <c r="C9" s="2">
        <v>2.84</v>
      </c>
      <c r="D9" s="2">
        <v>4.62</v>
      </c>
      <c r="E9" s="2">
        <v>227.2</v>
      </c>
      <c r="F9" s="2">
        <v>220.9</v>
      </c>
      <c r="G9" s="2">
        <v>7.8</v>
      </c>
      <c r="H9" s="2">
        <v>20.9</v>
      </c>
      <c r="I9" s="2">
        <v>0</v>
      </c>
      <c r="J9" s="2">
        <v>0</v>
      </c>
      <c r="K9" s="2">
        <v>0</v>
      </c>
      <c r="L9" s="2">
        <v>0</v>
      </c>
      <c r="M9" s="2">
        <v>13.7</v>
      </c>
      <c r="N9" s="2" t="s">
        <v>148</v>
      </c>
      <c r="O9" s="2">
        <v>0</v>
      </c>
      <c r="S9" t="s">
        <v>12</v>
      </c>
      <c r="T9">
        <v>9.86</v>
      </c>
      <c r="U9">
        <v>173.3</v>
      </c>
      <c r="V9">
        <v>191.9</v>
      </c>
      <c r="W9">
        <v>6.5</v>
      </c>
      <c r="X9">
        <v>-7.7</v>
      </c>
      <c r="Y9">
        <v>-0.28999999999999998</v>
      </c>
      <c r="Z9">
        <v>0.55000000000000004</v>
      </c>
    </row>
    <row r="10" spans="1:26" x14ac:dyDescent="0.2">
      <c r="A10" s="2" t="s">
        <v>144</v>
      </c>
      <c r="B10" s="2">
        <v>15.51</v>
      </c>
      <c r="C10" s="2">
        <v>4.82</v>
      </c>
      <c r="D10" s="2">
        <v>10.54</v>
      </c>
      <c r="E10" s="2">
        <v>184.9</v>
      </c>
      <c r="F10" s="2">
        <v>171.8</v>
      </c>
      <c r="G10" s="2">
        <v>14.3</v>
      </c>
      <c r="H10" s="2">
        <v>12.1</v>
      </c>
      <c r="I10" s="2">
        <v>0</v>
      </c>
      <c r="J10" s="2">
        <v>0</v>
      </c>
      <c r="K10" s="2">
        <v>0</v>
      </c>
      <c r="L10" s="2">
        <v>0</v>
      </c>
      <c r="M10" s="2">
        <v>13.8</v>
      </c>
      <c r="N10" s="2" t="s">
        <v>149</v>
      </c>
      <c r="O10" s="2">
        <v>0</v>
      </c>
      <c r="S10" t="s">
        <v>12</v>
      </c>
      <c r="T10">
        <v>8.06</v>
      </c>
      <c r="U10">
        <v>190.6</v>
      </c>
      <c r="V10">
        <v>190.2</v>
      </c>
      <c r="W10">
        <v>4.8</v>
      </c>
      <c r="X10">
        <v>0</v>
      </c>
      <c r="Y10">
        <v>0.57999999999999996</v>
      </c>
      <c r="Z10">
        <v>0.86</v>
      </c>
    </row>
    <row r="11" spans="1:26" x14ac:dyDescent="0.2">
      <c r="A11" s="2" t="s">
        <v>144</v>
      </c>
      <c r="B11" s="2">
        <v>7.1</v>
      </c>
      <c r="C11" s="2">
        <v>10.66</v>
      </c>
      <c r="D11" s="2">
        <v>11.82</v>
      </c>
      <c r="E11" s="2">
        <v>188.7</v>
      </c>
      <c r="F11" s="2">
        <v>186.5</v>
      </c>
      <c r="G11" s="2">
        <v>0.8</v>
      </c>
      <c r="H11" s="2">
        <v>10.4</v>
      </c>
      <c r="I11" s="2">
        <v>0</v>
      </c>
      <c r="J11" s="2">
        <v>0</v>
      </c>
      <c r="K11" s="2">
        <v>0</v>
      </c>
      <c r="L11" s="2">
        <v>0</v>
      </c>
      <c r="M11" s="2">
        <v>13.8</v>
      </c>
      <c r="N11" s="2" t="s">
        <v>150</v>
      </c>
      <c r="O11" s="2">
        <v>0</v>
      </c>
      <c r="S11" t="s">
        <v>12</v>
      </c>
      <c r="T11">
        <v>10.28</v>
      </c>
      <c r="U11">
        <v>177</v>
      </c>
      <c r="V11">
        <v>175.3</v>
      </c>
      <c r="W11">
        <v>6</v>
      </c>
      <c r="X11">
        <v>-1</v>
      </c>
      <c r="Y11">
        <v>0.93</v>
      </c>
      <c r="Z11">
        <v>1.87</v>
      </c>
    </row>
    <row r="12" spans="1:26" x14ac:dyDescent="0.2">
      <c r="A12" s="2" t="s">
        <v>144</v>
      </c>
      <c r="B12" s="2">
        <v>10.34</v>
      </c>
      <c r="C12" s="2">
        <v>11.91</v>
      </c>
      <c r="D12" s="2">
        <v>14.08</v>
      </c>
      <c r="E12" s="2">
        <v>234.6</v>
      </c>
      <c r="F12" s="2">
        <v>225.8</v>
      </c>
      <c r="G12" s="2">
        <v>7.7</v>
      </c>
      <c r="H12" s="2">
        <v>18.8</v>
      </c>
      <c r="I12" s="2">
        <v>0</v>
      </c>
      <c r="J12" s="2">
        <v>0</v>
      </c>
      <c r="K12" s="2">
        <v>0</v>
      </c>
      <c r="L12" s="2">
        <v>0</v>
      </c>
      <c r="M12" s="2">
        <v>13.9</v>
      </c>
      <c r="N12" s="2" t="s">
        <v>151</v>
      </c>
      <c r="O12" s="2">
        <v>0</v>
      </c>
      <c r="S12" t="s">
        <v>12</v>
      </c>
      <c r="T12">
        <v>12.75</v>
      </c>
      <c r="U12">
        <v>195</v>
      </c>
      <c r="V12">
        <v>197.7</v>
      </c>
      <c r="W12">
        <v>5.3</v>
      </c>
      <c r="X12">
        <v>5.5</v>
      </c>
      <c r="Y12">
        <v>1.85</v>
      </c>
      <c r="Z12">
        <v>1.1000000000000001</v>
      </c>
    </row>
    <row r="13" spans="1:26" x14ac:dyDescent="0.2">
      <c r="A13" s="2" t="s">
        <v>144</v>
      </c>
      <c r="B13" s="2">
        <v>7.21</v>
      </c>
      <c r="C13" s="2">
        <v>13.93</v>
      </c>
      <c r="D13" s="2">
        <v>7.59</v>
      </c>
      <c r="E13" s="2">
        <v>256.7</v>
      </c>
      <c r="F13" s="2">
        <v>260.2</v>
      </c>
      <c r="G13" s="2">
        <v>-71.3</v>
      </c>
      <c r="H13" s="2">
        <v>-66.900000000000006</v>
      </c>
      <c r="I13" s="2">
        <v>0</v>
      </c>
      <c r="J13" s="2">
        <v>0</v>
      </c>
      <c r="K13" s="2">
        <v>0</v>
      </c>
      <c r="L13" s="2">
        <v>0</v>
      </c>
      <c r="M13" s="2">
        <v>13.8</v>
      </c>
      <c r="N13" s="2" t="s">
        <v>152</v>
      </c>
      <c r="O13" s="2">
        <v>0</v>
      </c>
      <c r="S13" t="s">
        <v>12</v>
      </c>
      <c r="T13">
        <v>4.07</v>
      </c>
      <c r="U13">
        <v>195.6</v>
      </c>
      <c r="V13">
        <v>198.6</v>
      </c>
      <c r="W13">
        <v>1</v>
      </c>
      <c r="X13">
        <v>1.4</v>
      </c>
      <c r="Y13">
        <v>0.96</v>
      </c>
      <c r="Z13">
        <v>1.02</v>
      </c>
    </row>
    <row r="14" spans="1:26" x14ac:dyDescent="0.2">
      <c r="A14" s="2" t="s">
        <v>144</v>
      </c>
      <c r="B14" s="2">
        <v>7.29</v>
      </c>
      <c r="C14" s="2">
        <v>7.38</v>
      </c>
      <c r="D14" s="2">
        <v>6.95</v>
      </c>
      <c r="E14" s="2">
        <v>193.2</v>
      </c>
      <c r="F14" s="2">
        <v>193.4</v>
      </c>
      <c r="G14" s="2">
        <v>-7.4</v>
      </c>
      <c r="H14" s="2">
        <v>1.7</v>
      </c>
      <c r="I14" s="2">
        <v>0</v>
      </c>
      <c r="J14" s="2">
        <v>0</v>
      </c>
      <c r="K14" s="2">
        <v>0</v>
      </c>
      <c r="L14" s="2">
        <v>0</v>
      </c>
      <c r="M14" s="2">
        <v>13.8</v>
      </c>
      <c r="N14" s="2" t="s">
        <v>153</v>
      </c>
      <c r="O14" s="2">
        <v>0</v>
      </c>
      <c r="S14" t="s">
        <v>12</v>
      </c>
      <c r="T14">
        <v>7.48</v>
      </c>
      <c r="U14">
        <v>193.3</v>
      </c>
      <c r="V14">
        <v>193</v>
      </c>
      <c r="W14">
        <v>1.6</v>
      </c>
      <c r="X14">
        <v>-13.7</v>
      </c>
      <c r="Y14">
        <v>0.97</v>
      </c>
      <c r="Z14">
        <v>2.29</v>
      </c>
    </row>
    <row r="15" spans="1:26" x14ac:dyDescent="0.2">
      <c r="A15" s="2" t="s">
        <v>144</v>
      </c>
      <c r="B15" s="2">
        <v>4.24</v>
      </c>
      <c r="C15" s="2">
        <v>6.77</v>
      </c>
      <c r="D15" s="2">
        <v>5.1100000000000003</v>
      </c>
      <c r="E15" s="2">
        <v>217.2</v>
      </c>
      <c r="F15" s="2">
        <v>218.4</v>
      </c>
      <c r="G15" s="2">
        <v>-21.8</v>
      </c>
      <c r="H15" s="2">
        <v>-18.5</v>
      </c>
      <c r="I15" s="2">
        <v>0</v>
      </c>
      <c r="J15" s="2">
        <v>0</v>
      </c>
      <c r="K15" s="2">
        <v>0</v>
      </c>
      <c r="L15" s="2">
        <v>0</v>
      </c>
      <c r="M15" s="2">
        <v>13.8</v>
      </c>
      <c r="N15" s="2" t="s">
        <v>154</v>
      </c>
      <c r="O15" s="2">
        <v>0</v>
      </c>
      <c r="S15" t="s">
        <v>12</v>
      </c>
      <c r="T15">
        <v>5.24</v>
      </c>
      <c r="U15">
        <v>203.3</v>
      </c>
      <c r="V15">
        <v>202.3</v>
      </c>
      <c r="W15">
        <v>8.6</v>
      </c>
      <c r="X15">
        <v>2.5</v>
      </c>
      <c r="Y15">
        <v>2.2599999999999998</v>
      </c>
      <c r="Z15">
        <v>1.59</v>
      </c>
    </row>
    <row r="16" spans="1:26" x14ac:dyDescent="0.2">
      <c r="A16" s="2" t="s">
        <v>144</v>
      </c>
      <c r="B16" s="2">
        <v>5.29</v>
      </c>
      <c r="C16" s="2">
        <v>5.0599999999999996</v>
      </c>
      <c r="D16" s="2">
        <v>6.12</v>
      </c>
      <c r="E16" s="2">
        <v>186.3</v>
      </c>
      <c r="F16" s="2">
        <v>200.4</v>
      </c>
      <c r="G16" s="2">
        <v>7.4</v>
      </c>
      <c r="H16" s="2">
        <v>12.6</v>
      </c>
      <c r="I16" s="2">
        <v>0</v>
      </c>
      <c r="J16" s="2">
        <v>0</v>
      </c>
      <c r="K16" s="2">
        <v>0</v>
      </c>
      <c r="L16" s="2">
        <v>0</v>
      </c>
      <c r="M16" s="2">
        <v>13.8</v>
      </c>
      <c r="N16" s="2" t="s">
        <v>155</v>
      </c>
      <c r="O16" s="2">
        <v>0</v>
      </c>
      <c r="S16" t="s">
        <v>12</v>
      </c>
      <c r="T16">
        <v>2.93</v>
      </c>
      <c r="U16">
        <v>200.7</v>
      </c>
      <c r="V16">
        <v>200.6</v>
      </c>
      <c r="W16">
        <v>12.6</v>
      </c>
      <c r="X16">
        <v>-3.5</v>
      </c>
      <c r="Y16">
        <v>1.55</v>
      </c>
      <c r="Z16">
        <v>1.45</v>
      </c>
    </row>
    <row r="17" spans="1:26" x14ac:dyDescent="0.2">
      <c r="A17" s="2" t="s">
        <v>144</v>
      </c>
      <c r="B17" s="2">
        <v>4.8499999999999996</v>
      </c>
      <c r="C17" s="2">
        <v>6.24</v>
      </c>
      <c r="D17" s="2">
        <v>8.77</v>
      </c>
      <c r="E17" s="2">
        <v>218.7</v>
      </c>
      <c r="F17" s="2">
        <v>217.7</v>
      </c>
      <c r="G17" s="2">
        <v>30.5</v>
      </c>
      <c r="H17" s="2">
        <v>27.2</v>
      </c>
      <c r="I17" s="2">
        <v>0</v>
      </c>
      <c r="J17" s="2">
        <v>0</v>
      </c>
      <c r="K17" s="2">
        <v>0</v>
      </c>
      <c r="L17" s="2">
        <v>0</v>
      </c>
      <c r="M17" s="2">
        <v>13.9</v>
      </c>
      <c r="N17" s="2" t="s">
        <v>156</v>
      </c>
      <c r="O17" s="2">
        <v>0</v>
      </c>
      <c r="S17" t="s">
        <v>12</v>
      </c>
      <c r="T17">
        <v>10.61</v>
      </c>
      <c r="U17">
        <v>204.8</v>
      </c>
      <c r="V17">
        <v>205.6</v>
      </c>
      <c r="W17">
        <v>5.0999999999999996</v>
      </c>
      <c r="X17">
        <v>-5.2</v>
      </c>
      <c r="Y17">
        <v>1.48</v>
      </c>
      <c r="Z17">
        <v>1.71</v>
      </c>
    </row>
    <row r="18" spans="1:26" x14ac:dyDescent="0.2">
      <c r="A18" s="2" t="s">
        <v>144</v>
      </c>
      <c r="B18" s="2">
        <v>7.56</v>
      </c>
      <c r="C18" s="2">
        <v>8.82</v>
      </c>
      <c r="D18" s="2">
        <v>10.6</v>
      </c>
      <c r="E18" s="2">
        <v>256.7</v>
      </c>
      <c r="F18" s="2">
        <v>255.6</v>
      </c>
      <c r="G18" s="2">
        <v>5.6</v>
      </c>
      <c r="H18" s="2">
        <v>23.2</v>
      </c>
      <c r="I18" s="2">
        <v>0</v>
      </c>
      <c r="J18" s="2">
        <v>0</v>
      </c>
      <c r="K18" s="2">
        <v>0</v>
      </c>
      <c r="L18" s="2">
        <v>0</v>
      </c>
      <c r="M18" s="2">
        <v>13.9</v>
      </c>
      <c r="N18" s="2" t="s">
        <v>157</v>
      </c>
      <c r="O18" s="2">
        <v>0</v>
      </c>
      <c r="S18" t="s">
        <v>12</v>
      </c>
      <c r="T18">
        <v>7.66</v>
      </c>
      <c r="U18">
        <v>131.5</v>
      </c>
      <c r="V18">
        <v>134</v>
      </c>
      <c r="W18">
        <v>3.1</v>
      </c>
      <c r="X18">
        <v>0.9</v>
      </c>
      <c r="Y18">
        <v>1.74</v>
      </c>
      <c r="Z18">
        <v>1.91</v>
      </c>
    </row>
    <row r="19" spans="1:26" x14ac:dyDescent="0.2">
      <c r="A19" s="2" t="s">
        <v>144</v>
      </c>
      <c r="B19" s="2">
        <v>24.07</v>
      </c>
      <c r="C19" s="2">
        <v>10.65</v>
      </c>
      <c r="D19" s="2">
        <v>9.7799999999999994</v>
      </c>
      <c r="E19" s="2">
        <v>256.8</v>
      </c>
      <c r="F19" s="2">
        <v>255.1</v>
      </c>
      <c r="G19" s="2">
        <v>-6.5</v>
      </c>
      <c r="H19" s="2">
        <v>-7.7</v>
      </c>
      <c r="I19" s="2">
        <v>0</v>
      </c>
      <c r="J19" s="2">
        <v>0</v>
      </c>
      <c r="K19" s="2">
        <v>0</v>
      </c>
      <c r="L19" s="2">
        <v>0</v>
      </c>
      <c r="M19" s="2">
        <v>13.9</v>
      </c>
      <c r="N19" s="2" t="s">
        <v>158</v>
      </c>
      <c r="O19" s="2">
        <v>0</v>
      </c>
      <c r="S19" t="s">
        <v>12</v>
      </c>
      <c r="T19">
        <v>8.9499999999999993</v>
      </c>
      <c r="U19">
        <v>119.4</v>
      </c>
      <c r="V19">
        <v>123.7</v>
      </c>
      <c r="W19">
        <v>6.8</v>
      </c>
      <c r="X19">
        <v>7.1</v>
      </c>
      <c r="Y19">
        <v>1.87</v>
      </c>
      <c r="Z19">
        <v>0.67</v>
      </c>
    </row>
    <row r="20" spans="1:26" x14ac:dyDescent="0.2">
      <c r="A20" s="2" t="s">
        <v>144</v>
      </c>
      <c r="B20" s="2">
        <v>9.36</v>
      </c>
      <c r="C20" s="2">
        <v>9.65</v>
      </c>
      <c r="D20" s="2">
        <v>11.59</v>
      </c>
      <c r="E20" s="2">
        <v>162.4</v>
      </c>
      <c r="F20" s="2">
        <v>171</v>
      </c>
      <c r="G20" s="2">
        <v>-11.8</v>
      </c>
      <c r="H20" s="2">
        <v>-16.399999999999999</v>
      </c>
      <c r="I20" s="2">
        <v>0</v>
      </c>
      <c r="J20" s="2">
        <v>0</v>
      </c>
      <c r="K20" s="2">
        <v>0</v>
      </c>
      <c r="L20" s="2">
        <v>0</v>
      </c>
      <c r="M20" s="2">
        <v>13.9</v>
      </c>
      <c r="N20" s="2" t="s">
        <v>159</v>
      </c>
      <c r="O20" s="2">
        <v>0</v>
      </c>
      <c r="S20" t="s">
        <v>12</v>
      </c>
      <c r="T20">
        <v>3.66</v>
      </c>
      <c r="U20">
        <v>146.5</v>
      </c>
      <c r="V20">
        <v>138.5</v>
      </c>
      <c r="W20">
        <v>2</v>
      </c>
      <c r="X20">
        <v>0.5</v>
      </c>
      <c r="Y20">
        <v>0.52</v>
      </c>
      <c r="Z20">
        <v>0.81</v>
      </c>
    </row>
    <row r="21" spans="1:26" x14ac:dyDescent="0.2">
      <c r="A21" s="2" t="s">
        <v>144</v>
      </c>
      <c r="B21" s="2">
        <v>14.61</v>
      </c>
      <c r="C21" s="2">
        <v>11.84</v>
      </c>
      <c r="D21" s="2">
        <v>15.93</v>
      </c>
      <c r="E21" s="2">
        <v>192.4</v>
      </c>
      <c r="F21" s="2">
        <v>199.6</v>
      </c>
      <c r="G21" s="2">
        <v>-14.8</v>
      </c>
      <c r="H21" s="2">
        <v>-11.4</v>
      </c>
      <c r="I21" s="2">
        <v>0</v>
      </c>
      <c r="J21" s="2">
        <v>0</v>
      </c>
      <c r="K21" s="2">
        <v>0</v>
      </c>
      <c r="L21" s="2">
        <v>0</v>
      </c>
      <c r="M21" s="2">
        <v>13.9</v>
      </c>
      <c r="N21" s="2" t="s">
        <v>160</v>
      </c>
      <c r="O21" s="2">
        <v>0</v>
      </c>
      <c r="S21" t="s">
        <v>12</v>
      </c>
      <c r="T21">
        <v>3.91</v>
      </c>
      <c r="U21">
        <v>114</v>
      </c>
      <c r="V21">
        <v>122.4</v>
      </c>
      <c r="W21">
        <v>3.8</v>
      </c>
      <c r="X21">
        <v>2.5</v>
      </c>
      <c r="Y21">
        <v>0.8</v>
      </c>
      <c r="Z21">
        <v>1.28</v>
      </c>
    </row>
    <row r="22" spans="1:26" x14ac:dyDescent="0.2">
      <c r="A22" s="2" t="s">
        <v>144</v>
      </c>
      <c r="B22" s="2">
        <v>2.8</v>
      </c>
      <c r="C22" s="2">
        <v>16.03</v>
      </c>
      <c r="D22" s="2">
        <v>17.54</v>
      </c>
      <c r="E22" s="2">
        <v>196.2</v>
      </c>
      <c r="F22" s="2">
        <v>209.4</v>
      </c>
      <c r="G22" s="2">
        <v>-34.700000000000003</v>
      </c>
      <c r="H22" s="2">
        <v>-30.7</v>
      </c>
      <c r="I22" s="2">
        <v>0</v>
      </c>
      <c r="J22" s="2">
        <v>0</v>
      </c>
      <c r="K22" s="2">
        <v>0</v>
      </c>
      <c r="L22" s="2">
        <v>0</v>
      </c>
      <c r="M22" s="2">
        <v>13.9</v>
      </c>
      <c r="N22" s="2" t="s">
        <v>161</v>
      </c>
      <c r="O22" s="2">
        <v>0</v>
      </c>
      <c r="S22" t="s">
        <v>12</v>
      </c>
      <c r="T22">
        <v>0.4</v>
      </c>
      <c r="U22">
        <v>175.3</v>
      </c>
      <c r="V22">
        <v>174</v>
      </c>
      <c r="W22">
        <v>22.6</v>
      </c>
      <c r="X22">
        <v>22</v>
      </c>
      <c r="Y22">
        <v>1.33</v>
      </c>
      <c r="Z22">
        <v>1.22</v>
      </c>
    </row>
    <row r="23" spans="1:26" x14ac:dyDescent="0.2">
      <c r="A23" s="2" t="s">
        <v>144</v>
      </c>
      <c r="B23" s="2">
        <v>19.64</v>
      </c>
      <c r="C23" s="2">
        <v>17.690000000000001</v>
      </c>
      <c r="D23" s="2">
        <v>25.61</v>
      </c>
      <c r="E23" s="2">
        <v>205.7</v>
      </c>
      <c r="F23" s="2">
        <v>208.4</v>
      </c>
      <c r="G23" s="2">
        <v>-17.899999999999999</v>
      </c>
      <c r="H23" s="2">
        <v>-18</v>
      </c>
      <c r="I23" s="2">
        <v>0</v>
      </c>
      <c r="J23" s="2">
        <v>0</v>
      </c>
      <c r="K23" s="2">
        <v>0</v>
      </c>
      <c r="L23" s="2">
        <v>0</v>
      </c>
      <c r="M23" s="2">
        <v>14</v>
      </c>
      <c r="N23" s="2" t="s">
        <v>162</v>
      </c>
      <c r="O23" s="2">
        <v>0</v>
      </c>
    </row>
    <row r="24" spans="1:26" x14ac:dyDescent="0.2">
      <c r="A24" s="2" t="s">
        <v>144</v>
      </c>
      <c r="B24" s="2">
        <v>1.17</v>
      </c>
      <c r="C24" s="2">
        <v>25.64</v>
      </c>
      <c r="D24" s="2">
        <v>25.53</v>
      </c>
      <c r="E24" s="2">
        <v>224.7</v>
      </c>
      <c r="F24" s="2">
        <v>243.5</v>
      </c>
      <c r="G24" s="2">
        <v>6.9</v>
      </c>
      <c r="H24" s="2">
        <v>1.9</v>
      </c>
      <c r="I24" s="2">
        <v>0</v>
      </c>
      <c r="J24" s="2">
        <v>0</v>
      </c>
      <c r="K24" s="2">
        <v>0</v>
      </c>
      <c r="L24" s="2">
        <v>0</v>
      </c>
      <c r="M24" s="2">
        <v>14</v>
      </c>
      <c r="N24" s="2" t="s">
        <v>163</v>
      </c>
      <c r="O24" s="2">
        <v>0</v>
      </c>
    </row>
    <row r="25" spans="1:26" x14ac:dyDescent="0.2">
      <c r="A25" s="2" t="s">
        <v>144</v>
      </c>
      <c r="B25" s="2">
        <v>10.32</v>
      </c>
      <c r="C25" s="2">
        <v>25.47</v>
      </c>
      <c r="D25" s="2">
        <v>23.84</v>
      </c>
      <c r="E25" s="2">
        <v>257</v>
      </c>
      <c r="F25" s="2">
        <v>274</v>
      </c>
      <c r="G25" s="2">
        <v>8.5</v>
      </c>
      <c r="H25" s="2">
        <v>2.5</v>
      </c>
      <c r="I25" s="2">
        <v>0</v>
      </c>
      <c r="J25" s="2">
        <v>0</v>
      </c>
      <c r="K25" s="2">
        <v>0</v>
      </c>
      <c r="L25" s="2">
        <v>0</v>
      </c>
      <c r="M25" s="2">
        <v>14</v>
      </c>
      <c r="N25" s="2" t="s">
        <v>164</v>
      </c>
      <c r="O25" s="2">
        <v>0</v>
      </c>
    </row>
    <row r="26" spans="1:26" x14ac:dyDescent="0.2">
      <c r="A26" s="2" t="s">
        <v>144</v>
      </c>
      <c r="B26" s="2">
        <v>11.42</v>
      </c>
      <c r="C26" s="2">
        <v>23.82</v>
      </c>
      <c r="D26" s="2">
        <v>22.98</v>
      </c>
      <c r="E26" s="2">
        <v>339.9</v>
      </c>
      <c r="F26" s="2">
        <v>338.9</v>
      </c>
      <c r="G26" s="2">
        <v>-1.1000000000000001</v>
      </c>
      <c r="H26" s="2">
        <v>6</v>
      </c>
      <c r="I26" s="2">
        <v>0</v>
      </c>
      <c r="J26" s="2">
        <v>0</v>
      </c>
      <c r="K26" s="2">
        <v>0</v>
      </c>
      <c r="L26" s="2">
        <v>0</v>
      </c>
      <c r="M26" s="2">
        <v>14</v>
      </c>
      <c r="N26" s="2" t="s">
        <v>165</v>
      </c>
      <c r="O26" s="2">
        <v>0</v>
      </c>
    </row>
    <row r="27" spans="1:26" x14ac:dyDescent="0.2">
      <c r="A27" s="2" t="s">
        <v>144</v>
      </c>
      <c r="B27" s="2">
        <v>3.66</v>
      </c>
      <c r="C27" s="2">
        <v>23.05</v>
      </c>
      <c r="D27" s="2">
        <v>22.38</v>
      </c>
      <c r="E27" s="2">
        <v>1.6</v>
      </c>
      <c r="F27" s="2">
        <v>343.7</v>
      </c>
      <c r="G27" s="2">
        <v>11.2</v>
      </c>
      <c r="H27" s="2">
        <v>6.6</v>
      </c>
      <c r="I27" s="2">
        <v>0</v>
      </c>
      <c r="J27" s="2">
        <v>0</v>
      </c>
      <c r="K27" s="2">
        <v>0</v>
      </c>
      <c r="L27" s="2">
        <v>0</v>
      </c>
      <c r="M27" s="2">
        <v>14</v>
      </c>
      <c r="N27" s="2" t="s">
        <v>166</v>
      </c>
      <c r="O27" s="2">
        <v>0</v>
      </c>
    </row>
    <row r="28" spans="1:26" x14ac:dyDescent="0.2">
      <c r="A28" s="2" t="s">
        <v>144</v>
      </c>
      <c r="B28" s="2">
        <v>2.38</v>
      </c>
      <c r="C28" s="2">
        <v>22.3</v>
      </c>
      <c r="D28" s="2">
        <v>22.36</v>
      </c>
      <c r="E28" s="2">
        <v>273.7</v>
      </c>
      <c r="F28" s="2">
        <v>271.5</v>
      </c>
      <c r="G28" s="2">
        <v>8.1999999999999993</v>
      </c>
      <c r="H28" s="2">
        <v>1.4</v>
      </c>
      <c r="I28" s="2">
        <v>0</v>
      </c>
      <c r="J28" s="2">
        <v>0</v>
      </c>
      <c r="K28" s="2">
        <v>0</v>
      </c>
      <c r="L28" s="2">
        <v>0</v>
      </c>
      <c r="M28" s="2">
        <v>14</v>
      </c>
      <c r="N28" s="2" t="s">
        <v>167</v>
      </c>
      <c r="O28" s="2">
        <v>0</v>
      </c>
    </row>
    <row r="29" spans="1:26" x14ac:dyDescent="0.2">
      <c r="A29" s="2" t="s">
        <v>144</v>
      </c>
      <c r="B29" s="2">
        <v>12.71</v>
      </c>
      <c r="C29" s="2">
        <v>22.43</v>
      </c>
      <c r="D29" s="2">
        <v>25.84</v>
      </c>
      <c r="E29" s="2">
        <v>269.10000000000002</v>
      </c>
      <c r="F29" s="2">
        <v>252.8</v>
      </c>
      <c r="G29" s="2">
        <v>-20.9</v>
      </c>
      <c r="H29" s="2">
        <v>-4.3</v>
      </c>
      <c r="I29" s="2">
        <v>0</v>
      </c>
      <c r="J29" s="2">
        <v>0</v>
      </c>
      <c r="K29" s="2">
        <v>0</v>
      </c>
      <c r="L29" s="2">
        <v>0</v>
      </c>
      <c r="M29" s="2">
        <v>14</v>
      </c>
      <c r="N29" s="2" t="s">
        <v>168</v>
      </c>
      <c r="O29" s="2">
        <v>0</v>
      </c>
    </row>
    <row r="30" spans="1:26" x14ac:dyDescent="0.2">
      <c r="A30" s="2" t="s">
        <v>144</v>
      </c>
      <c r="B30" s="2">
        <v>13.13</v>
      </c>
      <c r="C30" s="2">
        <v>25.82</v>
      </c>
      <c r="D30" s="2">
        <v>27.24</v>
      </c>
      <c r="E30" s="2">
        <v>241.4</v>
      </c>
      <c r="F30" s="2">
        <v>242.9</v>
      </c>
      <c r="G30" s="2">
        <v>4.5999999999999996</v>
      </c>
      <c r="H30" s="2">
        <v>-1.6</v>
      </c>
      <c r="I30" s="2">
        <v>0</v>
      </c>
      <c r="J30" s="2">
        <v>0</v>
      </c>
      <c r="K30" s="2">
        <v>0</v>
      </c>
      <c r="L30" s="2">
        <v>0</v>
      </c>
      <c r="M30" s="2">
        <v>14</v>
      </c>
      <c r="N30" s="2" t="s">
        <v>169</v>
      </c>
      <c r="O30" s="2">
        <v>0</v>
      </c>
    </row>
    <row r="31" spans="1:26" x14ac:dyDescent="0.2">
      <c r="A31" s="2" t="s">
        <v>144</v>
      </c>
      <c r="B31" s="2">
        <v>12.88</v>
      </c>
      <c r="C31" s="2">
        <v>27.23</v>
      </c>
      <c r="D31" s="2">
        <v>25.03</v>
      </c>
      <c r="E31" s="2">
        <v>251.6</v>
      </c>
      <c r="F31" s="2">
        <v>253.9</v>
      </c>
      <c r="G31" s="2">
        <v>3.6</v>
      </c>
      <c r="H31" s="2">
        <v>7.7</v>
      </c>
      <c r="I31" s="2">
        <v>0</v>
      </c>
      <c r="J31" s="2">
        <v>0</v>
      </c>
      <c r="K31" s="2">
        <v>0</v>
      </c>
      <c r="L31" s="2">
        <v>0</v>
      </c>
      <c r="M31" s="2">
        <v>14</v>
      </c>
      <c r="N31" s="2" t="s">
        <v>170</v>
      </c>
      <c r="O31" s="2">
        <v>0</v>
      </c>
    </row>
    <row r="32" spans="1:26" x14ac:dyDescent="0.2">
      <c r="A32" s="2" t="s">
        <v>171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 t="s">
        <v>172</v>
      </c>
      <c r="O32" s="2">
        <v>0</v>
      </c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tabSelected="1" workbookViewId="0">
      <selection activeCell="J9" sqref="J9"/>
    </sheetView>
  </sheetViews>
  <sheetFormatPr baseColWidth="10" defaultColWidth="8.83203125" defaultRowHeight="15" x14ac:dyDescent="0.2"/>
  <sheetData>
    <row r="1" spans="1:10" x14ac:dyDescent="0.2">
      <c r="A1" t="str">
        <f>CONCATENATE("; Line name: ",RAW!A1)</f>
        <v>; Line name: B10</v>
      </c>
    </row>
    <row r="2" spans="1:10" x14ac:dyDescent="0.2">
      <c r="A2" s="1" t="s">
        <v>124</v>
      </c>
      <c r="B2" s="1"/>
      <c r="C2" s="1"/>
      <c r="D2" s="1"/>
      <c r="E2" s="1"/>
      <c r="F2" s="1"/>
      <c r="G2" s="1"/>
      <c r="H2" s="1"/>
      <c r="I2" s="1"/>
    </row>
    <row r="3" spans="1:10" x14ac:dyDescent="0.2">
      <c r="A3" t="str">
        <f>CONCATENATE("#DATE ",MID(RAW!A3,6,11))</f>
        <v>#DATE  2025-04-03</v>
      </c>
      <c r="J3" t="str">
        <f>MID(I1,6,10)</f>
        <v/>
      </c>
    </row>
    <row r="4" spans="1:10" x14ac:dyDescent="0.2">
      <c r="A4" t="s">
        <v>13</v>
      </c>
    </row>
    <row r="5" spans="1:10" x14ac:dyDescent="0.2">
      <c r="A5" t="s">
        <v>21</v>
      </c>
      <c r="B5" t="s">
        <v>14</v>
      </c>
      <c r="C5" t="s">
        <v>15</v>
      </c>
      <c r="D5" t="s">
        <v>18</v>
      </c>
      <c r="E5" t="s">
        <v>16</v>
      </c>
      <c r="F5" t="s">
        <v>17</v>
      </c>
      <c r="G5" t="s">
        <v>19</v>
      </c>
      <c r="H5" t="s">
        <v>20</v>
      </c>
    </row>
    <row r="6" spans="1:10" x14ac:dyDescent="0.2">
      <c r="A6" s="1" t="s">
        <v>23</v>
      </c>
      <c r="B6" s="1" t="s">
        <v>24</v>
      </c>
      <c r="C6" t="str">
        <f>SUBSTITUTE(RAW!B6,",",".")</f>
        <v>12.3</v>
      </c>
      <c r="D6" t="str">
        <f>SUBSTITUTE(MOD(ATAN2(AVERAGE(COS(RAW!E6*PI()/180),COS(RAW!F6*PI()/180)),AVERAGE(SIN(RAW!E6*PI()/180),SIN(RAW!F6*PI()/180)))*180/PI(),360),",",".")</f>
        <v>238</v>
      </c>
      <c r="E6" t="str">
        <f>SUBSTITUTE(RAW!C6,",",".")</f>
        <v>0.81</v>
      </c>
      <c r="F6" t="str">
        <f>SUBSTITUTE(RAW!D6,",",".")</f>
        <v>1.72</v>
      </c>
      <c r="G6" s="1" t="s">
        <v>22</v>
      </c>
      <c r="H6" t="str">
        <f>CONCATENATE("; ",RAW!P6)</f>
        <v xml:space="preserve">; </v>
      </c>
    </row>
    <row r="7" spans="1:10" x14ac:dyDescent="0.2">
      <c r="A7" s="1" t="s">
        <v>24</v>
      </c>
      <c r="B7" s="1" t="s">
        <v>25</v>
      </c>
      <c r="C7" t="str">
        <f>SUBSTITUTE(RAW!B7,",",".")</f>
        <v>23.86</v>
      </c>
      <c r="D7" t="str">
        <f>SUBSTITUTE(MOD(ATAN2(AVERAGE(COS(RAW!E7*PI()/180),COS(RAW!F7*PI()/180)),AVERAGE(SIN(RAW!E7*PI()/180),SIN(RAW!F7*PI()/180)))*180/PI(),360),",",".")</f>
        <v>234.3</v>
      </c>
      <c r="E7" t="str">
        <f>SUBSTITUTE(RAW!C7,",",".")</f>
        <v>1.82</v>
      </c>
      <c r="F7" t="str">
        <f>SUBSTITUTE(RAW!D7,",",".")</f>
        <v>0.86</v>
      </c>
      <c r="G7" s="1" t="s">
        <v>22</v>
      </c>
      <c r="H7" t="str">
        <f>CONCATENATE("; ",RAW!P7)</f>
        <v xml:space="preserve">; </v>
      </c>
    </row>
    <row r="8" spans="1:10" x14ac:dyDescent="0.2">
      <c r="A8" s="1" t="s">
        <v>25</v>
      </c>
      <c r="B8" s="1" t="s">
        <v>26</v>
      </c>
      <c r="C8" t="str">
        <f>SUBSTITUTE(RAW!B8,",",".")</f>
        <v>10.48</v>
      </c>
      <c r="D8" t="str">
        <f>SUBSTITUTE(MOD(ATAN2(AVERAGE(COS(RAW!E8*PI()/180),COS(RAW!F8*PI()/180)),AVERAGE(SIN(RAW!E8*PI()/180),SIN(RAW!F8*PI()/180)))*180/PI(),360),",",".")</f>
        <v>228.9</v>
      </c>
      <c r="E8" t="str">
        <f>SUBSTITUTE(RAW!C8,",",".")</f>
        <v>0.88</v>
      </c>
      <c r="F8" t="str">
        <f>SUBSTITUTE(RAW!D8,",",".")</f>
        <v>2.7</v>
      </c>
      <c r="G8" s="1" t="s">
        <v>22</v>
      </c>
      <c r="H8" t="str">
        <f>CONCATENATE("; ",RAW!P8)</f>
        <v xml:space="preserve">; </v>
      </c>
    </row>
    <row r="9" spans="1:10" x14ac:dyDescent="0.2">
      <c r="A9" s="1" t="s">
        <v>26</v>
      </c>
      <c r="B9" s="1" t="s">
        <v>27</v>
      </c>
      <c r="C9" t="str">
        <f>SUBSTITUTE(RAW!B9,",",".")</f>
        <v>5.83</v>
      </c>
      <c r="D9" t="str">
        <f>SUBSTITUTE(MOD(ATAN2(AVERAGE(COS(RAW!E9*PI()/180),COS(RAW!F9*PI()/180)),AVERAGE(SIN(RAW!E9*PI()/180),SIN(RAW!F9*PI()/180)))*180/PI(),360),",",".")</f>
        <v>224.05</v>
      </c>
      <c r="E9" t="str">
        <f>SUBSTITUTE(RAW!C9,",",".")</f>
        <v>2.84</v>
      </c>
      <c r="F9" t="str">
        <f>SUBSTITUTE(RAW!D9,",",".")</f>
        <v>4.62</v>
      </c>
      <c r="G9" s="1" t="s">
        <v>22</v>
      </c>
      <c r="H9" t="str">
        <f>CONCATENATE("; ",RAW!P9)</f>
        <v xml:space="preserve">; </v>
      </c>
    </row>
    <row r="10" spans="1:10" x14ac:dyDescent="0.2">
      <c r="A10" s="1" t="s">
        <v>27</v>
      </c>
      <c r="B10" s="1" t="s">
        <v>28</v>
      </c>
      <c r="C10" t="str">
        <f>SUBSTITUTE(RAW!B10,",",".")</f>
        <v>15.51</v>
      </c>
      <c r="D10" t="str">
        <f>SUBSTITUTE(MOD(ATAN2(AVERAGE(COS(RAW!E10*PI()/180),COS(RAW!F10*PI()/180)),AVERAGE(SIN(RAW!E10*PI()/180),SIN(RAW!F10*PI()/180)))*180/PI(),360),",",".")</f>
        <v>178.35</v>
      </c>
      <c r="E10" t="str">
        <f>SUBSTITUTE(RAW!C10,",",".")</f>
        <v>4.82</v>
      </c>
      <c r="F10" t="str">
        <f>SUBSTITUTE(RAW!D10,",",".")</f>
        <v>10.54</v>
      </c>
      <c r="G10" s="1" t="s">
        <v>22</v>
      </c>
      <c r="H10" t="str">
        <f>CONCATENATE("; ",RAW!P10)</f>
        <v xml:space="preserve">; </v>
      </c>
    </row>
    <row r="11" spans="1:10" x14ac:dyDescent="0.2">
      <c r="A11" s="1" t="s">
        <v>28</v>
      </c>
      <c r="B11" s="1" t="s">
        <v>29</v>
      </c>
      <c r="C11" t="str">
        <f>SUBSTITUTE(RAW!B11,",",".")</f>
        <v>7.1</v>
      </c>
      <c r="D11" t="str">
        <f>SUBSTITUTE(MOD(ATAN2(AVERAGE(COS(RAW!E11*PI()/180),COS(RAW!F11*PI()/180)),AVERAGE(SIN(RAW!E11*PI()/180),SIN(RAW!F11*PI()/180)))*180/PI(),360),",",".")</f>
        <v>187.6</v>
      </c>
      <c r="E11" t="str">
        <f>SUBSTITUTE(RAW!C11,",",".")</f>
        <v>10.66</v>
      </c>
      <c r="F11" t="str">
        <f>SUBSTITUTE(RAW!D11,",",".")</f>
        <v>11.82</v>
      </c>
      <c r="G11" s="1" t="s">
        <v>22</v>
      </c>
      <c r="H11" t="str">
        <f>CONCATENATE("; ",RAW!P11)</f>
        <v xml:space="preserve">; </v>
      </c>
    </row>
    <row r="12" spans="1:10" x14ac:dyDescent="0.2">
      <c r="A12" s="1" t="s">
        <v>29</v>
      </c>
      <c r="B12" s="1" t="s">
        <v>30</v>
      </c>
      <c r="C12" t="str">
        <f>SUBSTITUTE(RAW!B12,",",".")</f>
        <v>10.34</v>
      </c>
      <c r="D12" t="str">
        <f>SUBSTITUTE(MOD(ATAN2(AVERAGE(COS(RAW!E12*PI()/180),COS(RAW!F12*PI()/180)),AVERAGE(SIN(RAW!E12*PI()/180),SIN(RAW!F12*PI()/180)))*180/PI(),360),",",".")</f>
        <v>230.2</v>
      </c>
      <c r="E12" t="str">
        <f>SUBSTITUTE(RAW!C12,",",".")</f>
        <v>11.91</v>
      </c>
      <c r="F12" t="str">
        <f>SUBSTITUTE(RAW!D12,",",".")</f>
        <v>14.08</v>
      </c>
      <c r="G12" s="1" t="s">
        <v>22</v>
      </c>
      <c r="H12" t="str">
        <f>CONCATENATE("; ",RAW!P12)</f>
        <v xml:space="preserve">; </v>
      </c>
    </row>
    <row r="13" spans="1:10" x14ac:dyDescent="0.2">
      <c r="A13" s="1" t="s">
        <v>30</v>
      </c>
      <c r="B13" s="1" t="s">
        <v>31</v>
      </c>
      <c r="C13" t="str">
        <f>SUBSTITUTE(RAW!B13,",",".")</f>
        <v>7.21</v>
      </c>
      <c r="D13" t="str">
        <f>SUBSTITUTE(MOD(ATAN2(AVERAGE(COS(RAW!E13*PI()/180),COS(RAW!F13*PI()/180)),AVERAGE(SIN(RAW!E13*PI()/180),SIN(RAW!F13*PI()/180)))*180/PI(),360),",",".")</f>
        <v>258.45</v>
      </c>
      <c r="E13" t="str">
        <f>SUBSTITUTE(RAW!C13,",",".")</f>
        <v>13.93</v>
      </c>
      <c r="F13" t="str">
        <f>SUBSTITUTE(RAW!D13,",",".")</f>
        <v>7.59</v>
      </c>
      <c r="G13" s="1" t="s">
        <v>22</v>
      </c>
      <c r="H13" t="str">
        <f>CONCATENATE("; ",RAW!P13)</f>
        <v xml:space="preserve">; </v>
      </c>
    </row>
    <row r="14" spans="1:10" x14ac:dyDescent="0.2">
      <c r="A14" s="1" t="s">
        <v>31</v>
      </c>
      <c r="B14" s="1" t="s">
        <v>32</v>
      </c>
      <c r="C14" t="str">
        <f>SUBSTITUTE(RAW!B14,",",".")</f>
        <v>7.29</v>
      </c>
      <c r="D14" t="str">
        <f>SUBSTITUTE(MOD(ATAN2(AVERAGE(COS(RAW!E14*PI()/180),COS(RAW!F14*PI()/180)),AVERAGE(SIN(RAW!E14*PI()/180),SIN(RAW!F14*PI()/180)))*180/PI(),360),",",".")</f>
        <v>193.3</v>
      </c>
      <c r="E14" t="str">
        <f>SUBSTITUTE(RAW!C14,",",".")</f>
        <v>7.38</v>
      </c>
      <c r="F14" t="str">
        <f>SUBSTITUTE(RAW!D14,",",".")</f>
        <v>6.95</v>
      </c>
      <c r="G14" s="1" t="s">
        <v>22</v>
      </c>
      <c r="H14" t="str">
        <f>CONCATENATE("; ",RAW!P14)</f>
        <v xml:space="preserve">; </v>
      </c>
    </row>
    <row r="15" spans="1:10" x14ac:dyDescent="0.2">
      <c r="A15" s="1" t="s">
        <v>32</v>
      </c>
      <c r="B15" s="1" t="s">
        <v>33</v>
      </c>
      <c r="C15" t="str">
        <f>SUBSTITUTE(RAW!B15,",",".")</f>
        <v>4.24</v>
      </c>
      <c r="D15" t="str">
        <f>SUBSTITUTE(MOD(ATAN2(AVERAGE(COS(RAW!E15*PI()/180),COS(RAW!F15*PI()/180)),AVERAGE(SIN(RAW!E15*PI()/180),SIN(RAW!F15*PI()/180)))*180/PI(),360),",",".")</f>
        <v>217.8</v>
      </c>
      <c r="E15" t="str">
        <f>SUBSTITUTE(RAW!C15,",",".")</f>
        <v>6.77</v>
      </c>
      <c r="F15" t="str">
        <f>SUBSTITUTE(RAW!D15,",",".")</f>
        <v>5.11</v>
      </c>
      <c r="G15" s="1" t="s">
        <v>22</v>
      </c>
      <c r="H15" t="str">
        <f>CONCATENATE("; ",RAW!P15)</f>
        <v xml:space="preserve">; </v>
      </c>
    </row>
    <row r="16" spans="1:10" x14ac:dyDescent="0.2">
      <c r="A16" s="1" t="s">
        <v>33</v>
      </c>
      <c r="B16" s="1" t="s">
        <v>34</v>
      </c>
      <c r="C16" t="str">
        <f>SUBSTITUTE(RAW!B16,",",".")</f>
        <v>5.29</v>
      </c>
      <c r="D16" t="str">
        <f>SUBSTITUTE(MOD(ATAN2(AVERAGE(COS(RAW!E16*PI()/180),COS(RAW!F16*PI()/180)),AVERAGE(SIN(RAW!E16*PI()/180),SIN(RAW!F16*PI()/180)))*180/PI(),360),",",".")</f>
        <v>193.35</v>
      </c>
      <c r="E16" t="str">
        <f>SUBSTITUTE(RAW!C16,",",".")</f>
        <v>5.06</v>
      </c>
      <c r="F16" t="str">
        <f>SUBSTITUTE(RAW!D16,",",".")</f>
        <v>6.12</v>
      </c>
      <c r="G16" s="1" t="s">
        <v>22</v>
      </c>
      <c r="H16" t="str">
        <f>CONCATENATE("; ",RAW!P16)</f>
        <v xml:space="preserve">; </v>
      </c>
    </row>
    <row r="17" spans="1:8" x14ac:dyDescent="0.2">
      <c r="A17" s="1" t="s">
        <v>34</v>
      </c>
      <c r="B17" s="1" t="s">
        <v>35</v>
      </c>
      <c r="C17" t="str">
        <f>SUBSTITUTE(RAW!B17,",",".")</f>
        <v>4.85</v>
      </c>
      <c r="D17" t="str">
        <f>SUBSTITUTE(MOD(ATAN2(AVERAGE(COS(RAW!E17*PI()/180),COS(RAW!F17*PI()/180)),AVERAGE(SIN(RAW!E17*PI()/180),SIN(RAW!F17*PI()/180)))*180/PI(),360),",",".")</f>
        <v>218.2</v>
      </c>
      <c r="E17" t="str">
        <f>SUBSTITUTE(RAW!C17,",",".")</f>
        <v>6.24</v>
      </c>
      <c r="F17" t="str">
        <f>SUBSTITUTE(RAW!D17,",",".")</f>
        <v>8.77</v>
      </c>
      <c r="G17" s="1" t="s">
        <v>22</v>
      </c>
      <c r="H17" t="str">
        <f>CONCATENATE("; ",RAW!P17)</f>
        <v xml:space="preserve">; </v>
      </c>
    </row>
    <row r="18" spans="1:8" x14ac:dyDescent="0.2">
      <c r="A18" s="1" t="s">
        <v>35</v>
      </c>
      <c r="B18" s="1" t="s">
        <v>36</v>
      </c>
      <c r="C18" t="str">
        <f>SUBSTITUTE(RAW!B18,",",".")</f>
        <v>7.56</v>
      </c>
      <c r="D18" t="str">
        <f>SUBSTITUTE(MOD(ATAN2(AVERAGE(COS(RAW!E18*PI()/180),COS(RAW!F18*PI()/180)),AVERAGE(SIN(RAW!E18*PI()/180),SIN(RAW!F18*PI()/180)))*180/PI(),360),",",".")</f>
        <v>256.15</v>
      </c>
      <c r="E18" t="str">
        <f>SUBSTITUTE(RAW!C18,",",".")</f>
        <v>8.82</v>
      </c>
      <c r="F18" t="str">
        <f>SUBSTITUTE(RAW!D18,",",".")</f>
        <v>10.6</v>
      </c>
      <c r="G18" s="1" t="s">
        <v>22</v>
      </c>
      <c r="H18" t="str">
        <f>CONCATENATE("; ",RAW!P18)</f>
        <v xml:space="preserve">; </v>
      </c>
    </row>
    <row r="19" spans="1:8" x14ac:dyDescent="0.2">
      <c r="A19" s="1" t="s">
        <v>36</v>
      </c>
      <c r="B19" s="1" t="s">
        <v>37</v>
      </c>
      <c r="C19" t="str">
        <f>SUBSTITUTE(RAW!B19,",",".")</f>
        <v>24.07</v>
      </c>
      <c r="D19" t="str">
        <f>SUBSTITUTE(MOD(ATAN2(AVERAGE(COS(RAW!E19*PI()/180),COS(RAW!F19*PI()/180)),AVERAGE(SIN(RAW!E19*PI()/180),SIN(RAW!F19*PI()/180)))*180/PI(),360),",",".")</f>
        <v>255.95</v>
      </c>
      <c r="E19" t="str">
        <f>SUBSTITUTE(RAW!C19,",",".")</f>
        <v>10.65</v>
      </c>
      <c r="F19" t="str">
        <f>SUBSTITUTE(RAW!D19,",",".")</f>
        <v>9.78</v>
      </c>
      <c r="G19" s="1" t="s">
        <v>22</v>
      </c>
      <c r="H19" t="str">
        <f>CONCATENATE("; ",RAW!P19)</f>
        <v xml:space="preserve">; </v>
      </c>
    </row>
    <row r="20" spans="1:8" x14ac:dyDescent="0.2">
      <c r="A20" s="1" t="s">
        <v>37</v>
      </c>
      <c r="B20" s="1" t="s">
        <v>38</v>
      </c>
      <c r="C20" t="str">
        <f>SUBSTITUTE(RAW!B20,",",".")</f>
        <v>9.36</v>
      </c>
      <c r="D20" t="str">
        <f>SUBSTITUTE(MOD(ATAN2(AVERAGE(COS(RAW!E20*PI()/180),COS(RAW!F20*PI()/180)),AVERAGE(SIN(RAW!E20*PI()/180),SIN(RAW!F20*PI()/180)))*180/PI(),360),",",".")</f>
        <v>166.7</v>
      </c>
      <c r="E20" t="str">
        <f>SUBSTITUTE(RAW!C20,",",".")</f>
        <v>9.65</v>
      </c>
      <c r="F20" t="str">
        <f>SUBSTITUTE(RAW!D20,",",".")</f>
        <v>11.59</v>
      </c>
      <c r="G20" s="1" t="s">
        <v>22</v>
      </c>
      <c r="H20" t="str">
        <f>CONCATENATE("; ",RAW!P20)</f>
        <v xml:space="preserve">; </v>
      </c>
    </row>
    <row r="21" spans="1:8" x14ac:dyDescent="0.2">
      <c r="A21" s="1" t="s">
        <v>38</v>
      </c>
      <c r="B21" s="1" t="s">
        <v>39</v>
      </c>
      <c r="C21" t="str">
        <f>SUBSTITUTE(RAW!B21,",",".")</f>
        <v>14.61</v>
      </c>
      <c r="D21" t="str">
        <f>SUBSTITUTE(MOD(ATAN2(AVERAGE(COS(RAW!E21*PI()/180),COS(RAW!F21*PI()/180)),AVERAGE(SIN(RAW!E21*PI()/180),SIN(RAW!F21*PI()/180)))*180/PI(),360),",",".")</f>
        <v>196</v>
      </c>
      <c r="E21" t="str">
        <f>SUBSTITUTE(RAW!C21,",",".")</f>
        <v>11.84</v>
      </c>
      <c r="F21" t="str">
        <f>SUBSTITUTE(RAW!D21,",",".")</f>
        <v>15.93</v>
      </c>
      <c r="G21" s="1" t="s">
        <v>22</v>
      </c>
      <c r="H21" t="str">
        <f>CONCATENATE("; ",RAW!P21)</f>
        <v xml:space="preserve">; </v>
      </c>
    </row>
    <row r="22" spans="1:8" x14ac:dyDescent="0.2">
      <c r="A22" s="1" t="s">
        <v>39</v>
      </c>
      <c r="B22" s="1" t="s">
        <v>40</v>
      </c>
      <c r="C22" t="str">
        <f>SUBSTITUTE(RAW!B22,",",".")</f>
        <v>2.8</v>
      </c>
      <c r="D22" t="str">
        <f>SUBSTITUTE(MOD(ATAN2(AVERAGE(COS(RAW!E22*PI()/180),COS(RAW!F22*PI()/180)),AVERAGE(SIN(RAW!E22*PI()/180),SIN(RAW!F22*PI()/180)))*180/PI(),360),",",".")</f>
        <v>202.8</v>
      </c>
      <c r="E22" t="str">
        <f>SUBSTITUTE(RAW!C22,",",".")</f>
        <v>16.03</v>
      </c>
      <c r="F22" t="str">
        <f>SUBSTITUTE(RAW!D22,",",".")</f>
        <v>17.54</v>
      </c>
      <c r="G22" s="1" t="s">
        <v>22</v>
      </c>
      <c r="H22" t="str">
        <f>CONCATENATE("; ",RAW!P22)</f>
        <v xml:space="preserve">; </v>
      </c>
    </row>
    <row r="23" spans="1:8" x14ac:dyDescent="0.2">
      <c r="A23" s="1" t="s">
        <v>40</v>
      </c>
      <c r="B23" s="1" t="s">
        <v>41</v>
      </c>
      <c r="C23" t="str">
        <f>SUBSTITUTE(RAW!B23,",",".")</f>
        <v>19.64</v>
      </c>
      <c r="D23" t="str">
        <f>SUBSTITUTE(MOD(ATAN2(AVERAGE(COS(RAW!E23*PI()/180),COS(RAW!F23*PI()/180)),AVERAGE(SIN(RAW!E23*PI()/180),SIN(RAW!F23*PI()/180)))*180/PI(),360),",",".")</f>
        <v>207.05</v>
      </c>
      <c r="E23" t="str">
        <f>SUBSTITUTE(RAW!C23,",",".")</f>
        <v>17.69</v>
      </c>
      <c r="F23" t="str">
        <f>SUBSTITUTE(RAW!D23,",",".")</f>
        <v>25.61</v>
      </c>
      <c r="G23" s="1" t="s">
        <v>22</v>
      </c>
      <c r="H23" t="str">
        <f>CONCATENATE("; ",RAW!P23)</f>
        <v xml:space="preserve">; </v>
      </c>
    </row>
    <row r="24" spans="1:8" x14ac:dyDescent="0.2">
      <c r="A24" s="1" t="s">
        <v>41</v>
      </c>
      <c r="B24" s="1" t="s">
        <v>42</v>
      </c>
      <c r="C24" t="str">
        <f>SUBSTITUTE(RAW!B24,",",".")</f>
        <v>1.17</v>
      </c>
      <c r="D24" t="str">
        <f>SUBSTITUTE(MOD(ATAN2(AVERAGE(COS(RAW!E24*PI()/180),COS(RAW!F24*PI()/180)),AVERAGE(SIN(RAW!E24*PI()/180),SIN(RAW!F24*PI()/180)))*180/PI(),360),",",".")</f>
        <v>234.1</v>
      </c>
      <c r="E24" t="str">
        <f>SUBSTITUTE(RAW!C24,",",".")</f>
        <v>25.64</v>
      </c>
      <c r="F24" t="str">
        <f>SUBSTITUTE(RAW!D24,",",".")</f>
        <v>25.53</v>
      </c>
      <c r="G24" s="1" t="s">
        <v>22</v>
      </c>
      <c r="H24" t="str">
        <f>CONCATENATE("; ",RAW!P24)</f>
        <v xml:space="preserve">; </v>
      </c>
    </row>
    <row r="25" spans="1:8" x14ac:dyDescent="0.2">
      <c r="A25" s="1" t="s">
        <v>42</v>
      </c>
      <c r="B25" s="1" t="s">
        <v>43</v>
      </c>
      <c r="C25" t="str">
        <f>SUBSTITUTE(RAW!B25,",",".")</f>
        <v>10.32</v>
      </c>
      <c r="D25" t="str">
        <f>SUBSTITUTE(MOD(ATAN2(AVERAGE(COS(RAW!E25*PI()/180),COS(RAW!F25*PI()/180)),AVERAGE(SIN(RAW!E25*PI()/180),SIN(RAW!F25*PI()/180)))*180/PI(),360),",",".")</f>
        <v>265.5</v>
      </c>
      <c r="E25" t="str">
        <f>SUBSTITUTE(RAW!C25,",",".")</f>
        <v>25.47</v>
      </c>
      <c r="F25" t="str">
        <f>SUBSTITUTE(RAW!D25,",",".")</f>
        <v>23.84</v>
      </c>
      <c r="G25" s="1" t="s">
        <v>22</v>
      </c>
      <c r="H25" t="str">
        <f>CONCATENATE("; ",RAW!P25)</f>
        <v xml:space="preserve">; </v>
      </c>
    </row>
    <row r="26" spans="1:8" x14ac:dyDescent="0.2">
      <c r="A26" s="1" t="s">
        <v>43</v>
      </c>
      <c r="B26" s="1" t="s">
        <v>44</v>
      </c>
      <c r="C26" t="str">
        <f>SUBSTITUTE(RAW!B26,",",".")</f>
        <v>11.42</v>
      </c>
      <c r="D26" t="str">
        <f>SUBSTITUTE(MOD(ATAN2(AVERAGE(COS(RAW!E26*PI()/180),COS(RAW!F26*PI()/180)),AVERAGE(SIN(RAW!E26*PI()/180),SIN(RAW!F26*PI()/180)))*180/PI(),360),",",".")</f>
        <v>339.4</v>
      </c>
      <c r="E26" t="str">
        <f>SUBSTITUTE(RAW!C26,",",".")</f>
        <v>23.82</v>
      </c>
      <c r="F26" t="str">
        <f>SUBSTITUTE(RAW!D26,",",".")</f>
        <v>22.98</v>
      </c>
      <c r="G26" s="1" t="s">
        <v>22</v>
      </c>
      <c r="H26" t="str">
        <f>CONCATENATE("; ",RAW!P26)</f>
        <v xml:space="preserve">; </v>
      </c>
    </row>
    <row r="27" spans="1:8" x14ac:dyDescent="0.2">
      <c r="A27" s="1" t="s">
        <v>44</v>
      </c>
      <c r="B27" s="1" t="s">
        <v>45</v>
      </c>
      <c r="C27" t="str">
        <f>SUBSTITUTE(RAW!B27,",",".")</f>
        <v>3.66</v>
      </c>
      <c r="D27" t="str">
        <f>SUBSTITUTE(MOD(ATAN2(AVERAGE(COS(RAW!E27*PI()/180),COS(RAW!F27*PI()/180)),AVERAGE(SIN(RAW!E27*PI()/180),SIN(RAW!F27*PI()/180)))*180/PI(),360),",",".")</f>
        <v>352.65</v>
      </c>
      <c r="E27" t="str">
        <f>SUBSTITUTE(RAW!C27,",",".")</f>
        <v>23.05</v>
      </c>
      <c r="F27" t="str">
        <f>SUBSTITUTE(RAW!D27,",",".")</f>
        <v>22.38</v>
      </c>
      <c r="G27" s="1" t="s">
        <v>22</v>
      </c>
      <c r="H27" t="str">
        <f>CONCATENATE("; ",RAW!P27)</f>
        <v xml:space="preserve">; </v>
      </c>
    </row>
    <row r="28" spans="1:8" x14ac:dyDescent="0.2">
      <c r="A28" s="1" t="s">
        <v>45</v>
      </c>
      <c r="B28" s="1" t="s">
        <v>46</v>
      </c>
      <c r="C28" t="str">
        <f>SUBSTITUTE(RAW!B28,",",".")</f>
        <v>2.38</v>
      </c>
      <c r="D28" t="str">
        <f>SUBSTITUTE(MOD(ATAN2(AVERAGE(COS(RAW!E28*PI()/180),COS(RAW!F28*PI()/180)),AVERAGE(SIN(RAW!E28*PI()/180),SIN(RAW!F28*PI()/180)))*180/PI(),360),",",".")</f>
        <v>272.6</v>
      </c>
      <c r="E28" t="str">
        <f>SUBSTITUTE(RAW!C28,",",".")</f>
        <v>22.3</v>
      </c>
      <c r="F28" t="str">
        <f>SUBSTITUTE(RAW!D28,",",".")</f>
        <v>22.36</v>
      </c>
      <c r="G28" s="1" t="s">
        <v>22</v>
      </c>
      <c r="H28" t="str">
        <f>CONCATENATE("; ",RAW!P28)</f>
        <v xml:space="preserve">; </v>
      </c>
    </row>
    <row r="29" spans="1:8" x14ac:dyDescent="0.2">
      <c r="A29" s="1" t="s">
        <v>46</v>
      </c>
      <c r="B29" s="1" t="s">
        <v>47</v>
      </c>
      <c r="C29" t="str">
        <f>SUBSTITUTE(RAW!B29,",",".")</f>
        <v>12.71</v>
      </c>
      <c r="D29" t="str">
        <f>SUBSTITUTE(MOD(ATAN2(AVERAGE(COS(RAW!E29*PI()/180),COS(RAW!F29*PI()/180)),AVERAGE(SIN(RAW!E29*PI()/180),SIN(RAW!F29*PI()/180)))*180/PI(),360),",",".")</f>
        <v>260.95</v>
      </c>
      <c r="E29" t="str">
        <f>SUBSTITUTE(RAW!C29,",",".")</f>
        <v>22.43</v>
      </c>
      <c r="F29" t="str">
        <f>SUBSTITUTE(RAW!D29,",",".")</f>
        <v>25.84</v>
      </c>
      <c r="G29" s="1" t="s">
        <v>22</v>
      </c>
      <c r="H29" t="str">
        <f>CONCATENATE("; ",RAW!P29)</f>
        <v xml:space="preserve">; </v>
      </c>
    </row>
    <row r="30" spans="1:8" x14ac:dyDescent="0.2">
      <c r="A30" s="1" t="s">
        <v>47</v>
      </c>
      <c r="B30" s="1" t="s">
        <v>48</v>
      </c>
      <c r="C30" t="str">
        <f>SUBSTITUTE(RAW!B30,",",".")</f>
        <v>13.13</v>
      </c>
      <c r="D30" t="str">
        <f>SUBSTITUTE(MOD(ATAN2(AVERAGE(COS(RAW!E30*PI()/180),COS(RAW!F30*PI()/180)),AVERAGE(SIN(RAW!E30*PI()/180),SIN(RAW!F30*PI()/180)))*180/PI(),360),",",".")</f>
        <v>242.15</v>
      </c>
      <c r="E30" t="str">
        <f>SUBSTITUTE(RAW!C30,",",".")</f>
        <v>25.82</v>
      </c>
      <c r="F30" t="str">
        <f>SUBSTITUTE(RAW!D30,",",".")</f>
        <v>27.24</v>
      </c>
      <c r="G30" s="1" t="s">
        <v>22</v>
      </c>
      <c r="H30" t="str">
        <f>CONCATENATE("; ",RAW!P30)</f>
        <v xml:space="preserve">; </v>
      </c>
    </row>
    <row r="31" spans="1:8" x14ac:dyDescent="0.2">
      <c r="A31" s="1" t="s">
        <v>48</v>
      </c>
      <c r="B31" s="1" t="s">
        <v>49</v>
      </c>
      <c r="C31" t="str">
        <f>SUBSTITUTE(RAW!B31,",",".")</f>
        <v>12.88</v>
      </c>
      <c r="D31" t="str">
        <f>SUBSTITUTE(MOD(ATAN2(AVERAGE(COS(RAW!E31*PI()/180),COS(RAW!F31*PI()/180)),AVERAGE(SIN(RAW!E31*PI()/180),SIN(RAW!F31*PI()/180)))*180/PI(),360),",",".")</f>
        <v>252.75</v>
      </c>
      <c r="E31" t="str">
        <f>SUBSTITUTE(RAW!C31,",",".")</f>
        <v>27.23</v>
      </c>
      <c r="F31" t="str">
        <f>SUBSTITUTE(RAW!D31,",",".")</f>
        <v>25.03</v>
      </c>
      <c r="G31" s="1" t="s">
        <v>22</v>
      </c>
      <c r="H31" t="str">
        <f>CONCATENATE("; ",RAW!P31)</f>
        <v xml:space="preserve">; </v>
      </c>
    </row>
    <row r="32" spans="1:8" x14ac:dyDescent="0.2">
      <c r="A32" s="1" t="s">
        <v>49</v>
      </c>
      <c r="B32" s="1" t="s">
        <v>50</v>
      </c>
      <c r="C32" t="str">
        <f>SUBSTITUTE(RAW!B32,",",".")</f>
        <v>0</v>
      </c>
      <c r="D32" t="str">
        <f>SUBSTITUTE(MOD(ATAN2(AVERAGE(COS(RAW!E32*PI()/180),COS(RAW!F32*PI()/180)),AVERAGE(SIN(RAW!E32*PI()/180),SIN(RAW!F32*PI()/180)))*180/PI(),360),",",".")</f>
        <v>0</v>
      </c>
      <c r="E32" t="str">
        <f>SUBSTITUTE(RAW!C32,",",".")</f>
        <v>0</v>
      </c>
      <c r="F32" t="str">
        <f>SUBSTITUTE(RAW!D32,",",".")</f>
        <v>0</v>
      </c>
      <c r="G32" s="1" t="s">
        <v>22</v>
      </c>
      <c r="H32" t="str">
        <f>CONCATENATE("; ",RAW!P32)</f>
        <v xml:space="preserve">; </v>
      </c>
    </row>
    <row r="33" spans="1:8" x14ac:dyDescent="0.2">
      <c r="A33" s="1" t="s">
        <v>50</v>
      </c>
      <c r="B33" s="1" t="s">
        <v>51</v>
      </c>
      <c r="C33" t="str">
        <f>SUBSTITUTE(RAW!B33,",",".")</f>
        <v/>
      </c>
      <c r="D33" t="str">
        <f>SUBSTITUTE(MOD(ATAN2(AVERAGE(COS(RAW!E33*PI()/180),COS(RAW!F33*PI()/180)),AVERAGE(SIN(RAW!E33*PI()/180),SIN(RAW!F33*PI()/180)))*180/PI(),360),",",".")</f>
        <v>0</v>
      </c>
      <c r="E33" t="str">
        <f>SUBSTITUTE(RAW!C33,",",".")</f>
        <v/>
      </c>
      <c r="F33" t="str">
        <f>SUBSTITUTE(RAW!D33,",",".")</f>
        <v/>
      </c>
      <c r="G33" s="1" t="s">
        <v>22</v>
      </c>
      <c r="H33" t="str">
        <f>CONCATENATE("; ",RAW!P33)</f>
        <v xml:space="preserve">; </v>
      </c>
    </row>
    <row r="34" spans="1:8" x14ac:dyDescent="0.2">
      <c r="A34" s="1" t="s">
        <v>51</v>
      </c>
      <c r="B34" s="1" t="s">
        <v>52</v>
      </c>
      <c r="C34" t="str">
        <f>SUBSTITUTE(RAW!B34,",",".")</f>
        <v/>
      </c>
      <c r="D34" t="str">
        <f>SUBSTITUTE(MOD(ATAN2(AVERAGE(COS(RAW!E34*PI()/180),COS(RAW!F34*PI()/180)),AVERAGE(SIN(RAW!E34*PI()/180),SIN(RAW!F34*PI()/180)))*180/PI(),360),",",".")</f>
        <v>0</v>
      </c>
      <c r="E34" t="str">
        <f>SUBSTITUTE(RAW!C34,",",".")</f>
        <v/>
      </c>
      <c r="F34" t="str">
        <f>SUBSTITUTE(RAW!D34,",",".")</f>
        <v/>
      </c>
      <c r="G34" s="1" t="s">
        <v>22</v>
      </c>
      <c r="H34" t="str">
        <f>CONCATENATE("; ",RAW!P34)</f>
        <v xml:space="preserve">; </v>
      </c>
    </row>
    <row r="35" spans="1:8" x14ac:dyDescent="0.2">
      <c r="A35" s="1" t="s">
        <v>52</v>
      </c>
      <c r="B35" s="1" t="s">
        <v>53</v>
      </c>
      <c r="C35" t="str">
        <f>SUBSTITUTE(RAW!B35,",",".")</f>
        <v/>
      </c>
      <c r="D35" t="str">
        <f>SUBSTITUTE(MOD(ATAN2(AVERAGE(COS(RAW!E35*PI()/180),COS(RAW!F35*PI()/180)),AVERAGE(SIN(RAW!E35*PI()/180),SIN(RAW!F35*PI()/180)))*180/PI(),360),",",".")</f>
        <v>0</v>
      </c>
      <c r="E35" t="str">
        <f>SUBSTITUTE(RAW!C35,",",".")</f>
        <v/>
      </c>
      <c r="F35" t="str">
        <f>SUBSTITUTE(RAW!D35,",",".")</f>
        <v/>
      </c>
      <c r="G35" s="1" t="s">
        <v>22</v>
      </c>
      <c r="H35" t="str">
        <f>CONCATENATE("; ",RAW!P35)</f>
        <v xml:space="preserve">; </v>
      </c>
    </row>
    <row r="36" spans="1:8" x14ac:dyDescent="0.2">
      <c r="A36" s="1" t="s">
        <v>53</v>
      </c>
      <c r="B36" s="1" t="s">
        <v>54</v>
      </c>
      <c r="C36" t="str">
        <f>SUBSTITUTE(RAW!B36,",",".")</f>
        <v/>
      </c>
      <c r="D36" t="str">
        <f>SUBSTITUTE(MOD(ATAN2(AVERAGE(COS(RAW!E36*PI()/180),COS(RAW!F36*PI()/180)),AVERAGE(SIN(RAW!E36*PI()/180),SIN(RAW!F36*PI()/180)))*180/PI(),360),",",".")</f>
        <v>0</v>
      </c>
      <c r="E36" t="str">
        <f>SUBSTITUTE(RAW!C36,",",".")</f>
        <v/>
      </c>
      <c r="F36" t="str">
        <f>SUBSTITUTE(RAW!D36,",",".")</f>
        <v/>
      </c>
      <c r="G36" s="1" t="s">
        <v>22</v>
      </c>
      <c r="H36" t="str">
        <f>CONCATENATE("; ",RAW!P36)</f>
        <v xml:space="preserve">; </v>
      </c>
    </row>
    <row r="37" spans="1:8" x14ac:dyDescent="0.2">
      <c r="A37" s="1" t="s">
        <v>54</v>
      </c>
      <c r="B37" s="1" t="s">
        <v>55</v>
      </c>
      <c r="C37" t="str">
        <f>SUBSTITUTE(RAW!B37,",",".")</f>
        <v/>
      </c>
      <c r="D37" t="str">
        <f>SUBSTITUTE(MOD(ATAN2(AVERAGE(COS(RAW!E37*PI()/180),COS(RAW!F37*PI()/180)),AVERAGE(SIN(RAW!E37*PI()/180),SIN(RAW!F37*PI()/180)))*180/PI(),360),",",".")</f>
        <v>0</v>
      </c>
      <c r="E37" t="str">
        <f>SUBSTITUTE(RAW!C37,",",".")</f>
        <v/>
      </c>
      <c r="F37" t="str">
        <f>SUBSTITUTE(RAW!D37,",",".")</f>
        <v/>
      </c>
      <c r="G37" s="1" t="s">
        <v>22</v>
      </c>
      <c r="H37" t="str">
        <f>CONCATENATE("; ",RAW!P37)</f>
        <v xml:space="preserve">; </v>
      </c>
    </row>
    <row r="38" spans="1:8" x14ac:dyDescent="0.2">
      <c r="A38" s="1" t="s">
        <v>55</v>
      </c>
      <c r="B38" s="1" t="s">
        <v>56</v>
      </c>
      <c r="C38" t="str">
        <f>SUBSTITUTE(RAW!B38,",",".")</f>
        <v/>
      </c>
      <c r="D38" t="str">
        <f>SUBSTITUTE(MOD(ATAN2(AVERAGE(COS(RAW!E38*PI()/180),COS(RAW!F38*PI()/180)),AVERAGE(SIN(RAW!E38*PI()/180),SIN(RAW!F38*PI()/180)))*180/PI(),360),",",".")</f>
        <v>0</v>
      </c>
      <c r="E38" t="str">
        <f>SUBSTITUTE(RAW!C38,",",".")</f>
        <v/>
      </c>
      <c r="F38" t="str">
        <f>SUBSTITUTE(RAW!D38,",",".")</f>
        <v/>
      </c>
      <c r="G38" s="1" t="s">
        <v>22</v>
      </c>
      <c r="H38" t="str">
        <f>CONCATENATE("; ",RAW!P38)</f>
        <v xml:space="preserve">; </v>
      </c>
    </row>
    <row r="39" spans="1:8" x14ac:dyDescent="0.2">
      <c r="A39" s="1" t="s">
        <v>56</v>
      </c>
      <c r="B39" s="1" t="s">
        <v>57</v>
      </c>
      <c r="C39" t="str">
        <f>SUBSTITUTE(RAW!B39,",",".")</f>
        <v/>
      </c>
      <c r="D39" t="str">
        <f>SUBSTITUTE(MOD(ATAN2(AVERAGE(COS(RAW!E39*PI()/180),COS(RAW!F39*PI()/180)),AVERAGE(SIN(RAW!E39*PI()/180),SIN(RAW!F39*PI()/180)))*180/PI(),360),",",".")</f>
        <v>0</v>
      </c>
      <c r="E39" t="str">
        <f>SUBSTITUTE(RAW!C39,",",".")</f>
        <v/>
      </c>
      <c r="F39" t="str">
        <f>SUBSTITUTE(RAW!D39,",",".")</f>
        <v/>
      </c>
      <c r="G39" s="1" t="s">
        <v>22</v>
      </c>
      <c r="H39" t="str">
        <f>CONCATENATE("; ",RAW!P39)</f>
        <v xml:space="preserve">; </v>
      </c>
    </row>
    <row r="40" spans="1:8" x14ac:dyDescent="0.2">
      <c r="A40" s="1" t="s">
        <v>57</v>
      </c>
      <c r="B40" s="1" t="s">
        <v>58</v>
      </c>
      <c r="C40" t="str">
        <f>SUBSTITUTE(RAW!B40,",",".")</f>
        <v/>
      </c>
      <c r="D40" t="str">
        <f>SUBSTITUTE(MOD(ATAN2(AVERAGE(COS(RAW!E40*PI()/180),COS(RAW!F40*PI()/180)),AVERAGE(SIN(RAW!E40*PI()/180),SIN(RAW!F40*PI()/180)))*180/PI(),360),",",".")</f>
        <v>0</v>
      </c>
      <c r="E40" t="str">
        <f>SUBSTITUTE(RAW!C40,",",".")</f>
        <v/>
      </c>
      <c r="F40" t="str">
        <f>SUBSTITUTE(RAW!D40,",",".")</f>
        <v/>
      </c>
      <c r="G40" s="1" t="s">
        <v>22</v>
      </c>
      <c r="H40" t="str">
        <f>CONCATENATE("; ",RAW!P40)</f>
        <v xml:space="preserve">; </v>
      </c>
    </row>
    <row r="41" spans="1:8" x14ac:dyDescent="0.2">
      <c r="A41" s="1" t="s">
        <v>58</v>
      </c>
      <c r="B41" s="1" t="s">
        <v>59</v>
      </c>
      <c r="C41" t="str">
        <f>SUBSTITUTE(RAW!B41,",",".")</f>
        <v/>
      </c>
      <c r="D41" t="str">
        <f>SUBSTITUTE(MOD(ATAN2(AVERAGE(COS(RAW!E41*PI()/180),COS(RAW!F41*PI()/180)),AVERAGE(SIN(RAW!E41*PI()/180),SIN(RAW!F41*PI()/180)))*180/PI(),360),",",".")</f>
        <v>0</v>
      </c>
      <c r="E41" t="str">
        <f>SUBSTITUTE(RAW!C41,",",".")</f>
        <v/>
      </c>
      <c r="F41" t="str">
        <f>SUBSTITUTE(RAW!D41,",",".")</f>
        <v/>
      </c>
      <c r="G41" s="1" t="s">
        <v>22</v>
      </c>
      <c r="H41" t="str">
        <f>CONCATENATE("; ",RAW!P41)</f>
        <v xml:space="preserve">; </v>
      </c>
    </row>
    <row r="42" spans="1:8" x14ac:dyDescent="0.2">
      <c r="A42" s="1" t="s">
        <v>59</v>
      </c>
      <c r="B42" s="1" t="s">
        <v>60</v>
      </c>
      <c r="C42" t="str">
        <f>SUBSTITUTE(RAW!B42,",",".")</f>
        <v/>
      </c>
      <c r="D42" t="str">
        <f>SUBSTITUTE(MOD(ATAN2(AVERAGE(COS(RAW!E42*PI()/180),COS(RAW!F42*PI()/180)),AVERAGE(SIN(RAW!E42*PI()/180),SIN(RAW!F42*PI()/180)))*180/PI(),360),",",".")</f>
        <v>0</v>
      </c>
      <c r="E42" t="str">
        <f>SUBSTITUTE(RAW!C42,",",".")</f>
        <v/>
      </c>
      <c r="F42" t="str">
        <f>SUBSTITUTE(RAW!D42,",",".")</f>
        <v/>
      </c>
      <c r="G42" s="1" t="s">
        <v>22</v>
      </c>
      <c r="H42" t="str">
        <f>CONCATENATE("; ",RAW!P42)</f>
        <v xml:space="preserve">; </v>
      </c>
    </row>
    <row r="43" spans="1:8" x14ac:dyDescent="0.2">
      <c r="A43" s="1" t="s">
        <v>60</v>
      </c>
      <c r="B43" s="1" t="s">
        <v>61</v>
      </c>
      <c r="C43" t="str">
        <f>SUBSTITUTE(RAW!B43,",",".")</f>
        <v/>
      </c>
      <c r="D43" t="str">
        <f>SUBSTITUTE(MOD(ATAN2(AVERAGE(COS(RAW!E43*PI()/180),COS(RAW!F43*PI()/180)),AVERAGE(SIN(RAW!E43*PI()/180),SIN(RAW!F43*PI()/180)))*180/PI(),360),",",".")</f>
        <v>0</v>
      </c>
      <c r="E43" t="str">
        <f>SUBSTITUTE(RAW!C43,",",".")</f>
        <v/>
      </c>
      <c r="F43" t="str">
        <f>SUBSTITUTE(RAW!D43,",",".")</f>
        <v/>
      </c>
      <c r="G43" s="1" t="s">
        <v>22</v>
      </c>
      <c r="H43" t="str">
        <f>CONCATENATE("; ",RAW!P43)</f>
        <v xml:space="preserve">; </v>
      </c>
    </row>
    <row r="44" spans="1:8" x14ac:dyDescent="0.2">
      <c r="A44" s="1" t="s">
        <v>61</v>
      </c>
      <c r="B44" s="1" t="s">
        <v>62</v>
      </c>
      <c r="C44" t="str">
        <f>SUBSTITUTE(RAW!B44,",",".")</f>
        <v/>
      </c>
      <c r="D44" t="str">
        <f>SUBSTITUTE(MOD(ATAN2(AVERAGE(COS(RAW!E44*PI()/180),COS(RAW!F44*PI()/180)),AVERAGE(SIN(RAW!E44*PI()/180),SIN(RAW!F44*PI()/180)))*180/PI(),360),",",".")</f>
        <v>0</v>
      </c>
      <c r="E44" t="str">
        <f>SUBSTITUTE(RAW!C44,",",".")</f>
        <v/>
      </c>
      <c r="F44" t="str">
        <f>SUBSTITUTE(RAW!D44,",",".")</f>
        <v/>
      </c>
      <c r="G44" s="1" t="s">
        <v>22</v>
      </c>
      <c r="H44" t="str">
        <f>CONCATENATE("; ",RAW!P44)</f>
        <v xml:space="preserve">; </v>
      </c>
    </row>
    <row r="45" spans="1:8" x14ac:dyDescent="0.2">
      <c r="A45" s="1" t="s">
        <v>62</v>
      </c>
      <c r="B45" s="1" t="s">
        <v>63</v>
      </c>
      <c r="C45" t="str">
        <f>SUBSTITUTE(RAW!B45,",",".")</f>
        <v/>
      </c>
      <c r="D45" t="str">
        <f>SUBSTITUTE(MOD(ATAN2(AVERAGE(COS(RAW!E45*PI()/180),COS(RAW!F45*PI()/180)),AVERAGE(SIN(RAW!E45*PI()/180),SIN(RAW!F45*PI()/180)))*180/PI(),360),",",".")</f>
        <v>0</v>
      </c>
      <c r="E45" t="str">
        <f>SUBSTITUTE(RAW!C45,",",".")</f>
        <v/>
      </c>
      <c r="F45" t="str">
        <f>SUBSTITUTE(RAW!D45,",",".")</f>
        <v/>
      </c>
      <c r="G45" s="1" t="s">
        <v>22</v>
      </c>
      <c r="H45" t="str">
        <f>CONCATENATE("; ",RAW!P45)</f>
        <v xml:space="preserve">; </v>
      </c>
    </row>
    <row r="46" spans="1:8" x14ac:dyDescent="0.2">
      <c r="A46" s="1" t="s">
        <v>63</v>
      </c>
      <c r="B46" s="1" t="s">
        <v>64</v>
      </c>
      <c r="C46" t="str">
        <f>SUBSTITUTE(RAW!B46,",",".")</f>
        <v/>
      </c>
      <c r="D46" t="str">
        <f>SUBSTITUTE(MOD(ATAN2(AVERAGE(COS(RAW!E46*PI()/180),COS(RAW!F46*PI()/180)),AVERAGE(SIN(RAW!E46*PI()/180),SIN(RAW!F46*PI()/180)))*180/PI(),360),",",".")</f>
        <v>0</v>
      </c>
      <c r="E46" t="str">
        <f>SUBSTITUTE(RAW!C46,",",".")</f>
        <v/>
      </c>
      <c r="F46" t="str">
        <f>SUBSTITUTE(RAW!D46,",",".")</f>
        <v/>
      </c>
      <c r="G46" s="1" t="s">
        <v>22</v>
      </c>
      <c r="H46" t="str">
        <f>CONCATENATE("; ",RAW!P46)</f>
        <v xml:space="preserve">; </v>
      </c>
    </row>
    <row r="47" spans="1:8" x14ac:dyDescent="0.2">
      <c r="A47" s="1" t="s">
        <v>64</v>
      </c>
      <c r="B47" s="1" t="s">
        <v>65</v>
      </c>
      <c r="C47" t="str">
        <f>SUBSTITUTE(RAW!B47,",",".")</f>
        <v/>
      </c>
      <c r="D47" t="str">
        <f>SUBSTITUTE(MOD(ATAN2(AVERAGE(COS(RAW!E47*PI()/180),COS(RAW!F47*PI()/180)),AVERAGE(SIN(RAW!E47*PI()/180),SIN(RAW!F47*PI()/180)))*180/PI(),360),",",".")</f>
        <v>0</v>
      </c>
      <c r="E47" t="str">
        <f>SUBSTITUTE(RAW!C47,",",".")</f>
        <v/>
      </c>
      <c r="F47" t="str">
        <f>SUBSTITUTE(RAW!D47,",",".")</f>
        <v/>
      </c>
      <c r="G47" s="1" t="s">
        <v>22</v>
      </c>
      <c r="H47" t="str">
        <f>CONCATENATE("; ",RAW!P47)</f>
        <v xml:space="preserve">; </v>
      </c>
    </row>
    <row r="48" spans="1:8" x14ac:dyDescent="0.2">
      <c r="A48" s="1" t="s">
        <v>65</v>
      </c>
      <c r="B48" s="1" t="s">
        <v>66</v>
      </c>
      <c r="C48" t="str">
        <f>SUBSTITUTE(RAW!B48,",",".")</f>
        <v/>
      </c>
      <c r="D48" t="str">
        <f>SUBSTITUTE(MOD(ATAN2(AVERAGE(COS(RAW!E48*PI()/180),COS(RAW!F48*PI()/180)),AVERAGE(SIN(RAW!E48*PI()/180),SIN(RAW!F48*PI()/180)))*180/PI(),360),",",".")</f>
        <v>0</v>
      </c>
      <c r="E48" t="str">
        <f>SUBSTITUTE(RAW!C48,",",".")</f>
        <v/>
      </c>
      <c r="F48" t="str">
        <f>SUBSTITUTE(RAW!D48,",",".")</f>
        <v/>
      </c>
      <c r="G48" s="1" t="s">
        <v>22</v>
      </c>
      <c r="H48" t="str">
        <f>CONCATENATE("; ",RAW!P48)</f>
        <v xml:space="preserve">; </v>
      </c>
    </row>
    <row r="49" spans="1:8" x14ac:dyDescent="0.2">
      <c r="A49" s="1" t="s">
        <v>66</v>
      </c>
      <c r="B49" s="1" t="s">
        <v>67</v>
      </c>
      <c r="C49" t="str">
        <f>SUBSTITUTE(RAW!B49,",",".")</f>
        <v/>
      </c>
      <c r="D49" t="str">
        <f>SUBSTITUTE(MOD(ATAN2(AVERAGE(COS(RAW!E49*PI()/180),COS(RAW!F49*PI()/180)),AVERAGE(SIN(RAW!E49*PI()/180),SIN(RAW!F49*PI()/180)))*180/PI(),360),",",".")</f>
        <v>0</v>
      </c>
      <c r="E49" t="str">
        <f>SUBSTITUTE(RAW!C49,",",".")</f>
        <v/>
      </c>
      <c r="F49" t="str">
        <f>SUBSTITUTE(RAW!D49,",",".")</f>
        <v/>
      </c>
      <c r="G49" s="1" t="s">
        <v>22</v>
      </c>
      <c r="H49" t="str">
        <f>CONCATENATE("; ",RAW!P49)</f>
        <v xml:space="preserve">; </v>
      </c>
    </row>
    <row r="50" spans="1:8" x14ac:dyDescent="0.2">
      <c r="A50" s="1" t="s">
        <v>67</v>
      </c>
      <c r="B50" s="1" t="s">
        <v>68</v>
      </c>
      <c r="C50" t="str">
        <f>SUBSTITUTE(RAW!B50,",",".")</f>
        <v/>
      </c>
      <c r="D50" t="str">
        <f>SUBSTITUTE(MOD(ATAN2(AVERAGE(COS(RAW!E50*PI()/180),COS(RAW!F50*PI()/180)),AVERAGE(SIN(RAW!E50*PI()/180),SIN(RAW!F50*PI()/180)))*180/PI(),360),",",".")</f>
        <v>0</v>
      </c>
      <c r="E50" t="str">
        <f>SUBSTITUTE(RAW!C50,",",".")</f>
        <v/>
      </c>
      <c r="F50" t="str">
        <f>SUBSTITUTE(RAW!D50,",",".")</f>
        <v/>
      </c>
      <c r="G50" s="1" t="s">
        <v>22</v>
      </c>
      <c r="H50" t="str">
        <f>CONCATENATE("; ",RAW!P50)</f>
        <v xml:space="preserve">; </v>
      </c>
    </row>
    <row r="51" spans="1:8" x14ac:dyDescent="0.2">
      <c r="A51" s="1" t="s">
        <v>68</v>
      </c>
      <c r="B51" s="1" t="s">
        <v>69</v>
      </c>
      <c r="C51" t="str">
        <f>SUBSTITUTE(RAW!B51,",",".")</f>
        <v/>
      </c>
      <c r="D51" t="str">
        <f>SUBSTITUTE(MOD(ATAN2(AVERAGE(COS(RAW!E51*PI()/180),COS(RAW!F51*PI()/180)),AVERAGE(SIN(RAW!E51*PI()/180),SIN(RAW!F51*PI()/180)))*180/PI(),360),",",".")</f>
        <v>0</v>
      </c>
      <c r="E51" t="str">
        <f>SUBSTITUTE(RAW!C51,",",".")</f>
        <v/>
      </c>
      <c r="F51" t="str">
        <f>SUBSTITUTE(RAW!D51,",",".")</f>
        <v/>
      </c>
      <c r="G51" s="1" t="s">
        <v>22</v>
      </c>
      <c r="H51" t="str">
        <f>CONCATENATE("; ",RAW!P51)</f>
        <v xml:space="preserve">; </v>
      </c>
    </row>
    <row r="52" spans="1:8" x14ac:dyDescent="0.2">
      <c r="A52" s="1" t="s">
        <v>69</v>
      </c>
      <c r="B52" s="1" t="s">
        <v>70</v>
      </c>
      <c r="C52" t="str">
        <f>SUBSTITUTE(RAW!B52,",",".")</f>
        <v/>
      </c>
      <c r="D52" t="str">
        <f>SUBSTITUTE(MOD(ATAN2(AVERAGE(COS(RAW!E52*PI()/180),COS(RAW!F52*PI()/180)),AVERAGE(SIN(RAW!E52*PI()/180),SIN(RAW!F52*PI()/180)))*180/PI(),360),",",".")</f>
        <v>0</v>
      </c>
      <c r="E52" t="str">
        <f>SUBSTITUTE(RAW!C52,",",".")</f>
        <v/>
      </c>
      <c r="F52" t="str">
        <f>SUBSTITUTE(RAW!D52,",",".")</f>
        <v/>
      </c>
      <c r="G52" s="1" t="s">
        <v>22</v>
      </c>
      <c r="H52" t="str">
        <f>CONCATENATE("; ",RAW!P52)</f>
        <v xml:space="preserve">; </v>
      </c>
    </row>
    <row r="53" spans="1:8" x14ac:dyDescent="0.2">
      <c r="A53" s="1" t="s">
        <v>70</v>
      </c>
      <c r="B53" s="1" t="s">
        <v>71</v>
      </c>
      <c r="C53" t="str">
        <f>SUBSTITUTE(RAW!B53,",",".")</f>
        <v/>
      </c>
      <c r="D53" t="str">
        <f>SUBSTITUTE(MOD(ATAN2(AVERAGE(COS(RAW!E53*PI()/180),COS(RAW!F53*PI()/180)),AVERAGE(SIN(RAW!E53*PI()/180),SIN(RAW!F53*PI()/180)))*180/PI(),360),",",".")</f>
        <v>0</v>
      </c>
      <c r="E53" t="str">
        <f>SUBSTITUTE(RAW!C53,",",".")</f>
        <v/>
      </c>
      <c r="F53" t="str">
        <f>SUBSTITUTE(RAW!D53,",",".")</f>
        <v/>
      </c>
      <c r="G53" s="1" t="s">
        <v>22</v>
      </c>
      <c r="H53" t="str">
        <f>CONCATENATE("; ",RAW!P53)</f>
        <v xml:space="preserve">; </v>
      </c>
    </row>
    <row r="54" spans="1:8" x14ac:dyDescent="0.2">
      <c r="A54" s="1" t="s">
        <v>71</v>
      </c>
      <c r="B54" s="1" t="s">
        <v>72</v>
      </c>
      <c r="C54" t="str">
        <f>SUBSTITUTE(RAW!B54,",",".")</f>
        <v/>
      </c>
      <c r="D54" t="str">
        <f>SUBSTITUTE(MOD(ATAN2(AVERAGE(COS(RAW!E54*PI()/180),COS(RAW!F54*PI()/180)),AVERAGE(SIN(RAW!E54*PI()/180),SIN(RAW!F54*PI()/180)))*180/PI(),360),",",".")</f>
        <v>0</v>
      </c>
      <c r="E54" t="str">
        <f>SUBSTITUTE(RAW!C54,",",".")</f>
        <v/>
      </c>
      <c r="F54" t="str">
        <f>SUBSTITUTE(RAW!D54,",",".")</f>
        <v/>
      </c>
      <c r="G54" s="1" t="s">
        <v>22</v>
      </c>
      <c r="H54" t="str">
        <f>CONCATENATE("; ",RAW!P54)</f>
        <v xml:space="preserve">; </v>
      </c>
    </row>
    <row r="55" spans="1:8" x14ac:dyDescent="0.2">
      <c r="A55" s="1" t="s">
        <v>72</v>
      </c>
      <c r="B55" s="1" t="s">
        <v>73</v>
      </c>
      <c r="C55" t="str">
        <f>SUBSTITUTE(RAW!B55,",",".")</f>
        <v/>
      </c>
      <c r="D55" t="str">
        <f>SUBSTITUTE(MOD(ATAN2(AVERAGE(COS(RAW!E55*PI()/180),COS(RAW!F55*PI()/180)),AVERAGE(SIN(RAW!E55*PI()/180),SIN(RAW!F55*PI()/180)))*180/PI(),360),",",".")</f>
        <v>0</v>
      </c>
      <c r="E55" t="str">
        <f>SUBSTITUTE(RAW!C55,",",".")</f>
        <v/>
      </c>
      <c r="F55" t="str">
        <f>SUBSTITUTE(RAW!D55,",",".")</f>
        <v/>
      </c>
      <c r="G55" s="1" t="s">
        <v>22</v>
      </c>
      <c r="H55" t="str">
        <f>CONCATENATE("; ",RAW!P55)</f>
        <v xml:space="preserve">; </v>
      </c>
    </row>
    <row r="56" spans="1:8" x14ac:dyDescent="0.2">
      <c r="A56" s="1" t="s">
        <v>73</v>
      </c>
      <c r="B56" s="1" t="s">
        <v>74</v>
      </c>
      <c r="C56" t="str">
        <f>SUBSTITUTE(RAW!B56,",",".")</f>
        <v/>
      </c>
      <c r="D56" t="str">
        <f>SUBSTITUTE(MOD(ATAN2(AVERAGE(COS(RAW!E56*PI()/180),COS(RAW!F56*PI()/180)),AVERAGE(SIN(RAW!E56*PI()/180),SIN(RAW!F56*PI()/180)))*180/PI(),360),",",".")</f>
        <v>0</v>
      </c>
      <c r="E56" t="str">
        <f>SUBSTITUTE(RAW!C56,",",".")</f>
        <v/>
      </c>
      <c r="F56" t="str">
        <f>SUBSTITUTE(RAW!D56,",",".")</f>
        <v/>
      </c>
      <c r="G56" s="1" t="s">
        <v>22</v>
      </c>
      <c r="H56" t="str">
        <f>CONCATENATE("; ",RAW!P56)</f>
        <v xml:space="preserve">; </v>
      </c>
    </row>
    <row r="57" spans="1:8" x14ac:dyDescent="0.2">
      <c r="A57" s="1" t="s">
        <v>74</v>
      </c>
      <c r="B57" s="1" t="s">
        <v>75</v>
      </c>
      <c r="C57" t="str">
        <f>SUBSTITUTE(RAW!B57,",",".")</f>
        <v/>
      </c>
      <c r="D57" t="str">
        <f>SUBSTITUTE(MOD(ATAN2(AVERAGE(COS(RAW!E57*PI()/180),COS(RAW!F57*PI()/180)),AVERAGE(SIN(RAW!E57*PI()/180),SIN(RAW!F57*PI()/180)))*180/PI(),360),",",".")</f>
        <v>0</v>
      </c>
      <c r="E57" t="str">
        <f>SUBSTITUTE(RAW!C57,",",".")</f>
        <v/>
      </c>
      <c r="F57" t="str">
        <f>SUBSTITUTE(RAW!D57,",",".")</f>
        <v/>
      </c>
      <c r="G57" s="1" t="s">
        <v>22</v>
      </c>
      <c r="H57" t="str">
        <f>CONCATENATE("; ",RAW!P57)</f>
        <v xml:space="preserve">; </v>
      </c>
    </row>
    <row r="58" spans="1:8" x14ac:dyDescent="0.2">
      <c r="A58" s="1" t="s">
        <v>75</v>
      </c>
      <c r="B58" s="1" t="s">
        <v>76</v>
      </c>
      <c r="C58" t="str">
        <f>SUBSTITUTE(RAW!B58,",",".")</f>
        <v/>
      </c>
      <c r="D58" t="str">
        <f>SUBSTITUTE(MOD(ATAN2(AVERAGE(COS(RAW!E58*PI()/180),COS(RAW!F58*PI()/180)),AVERAGE(SIN(RAW!E58*PI()/180),SIN(RAW!F58*PI()/180)))*180/PI(),360),",",".")</f>
        <v>0</v>
      </c>
      <c r="E58" t="str">
        <f>SUBSTITUTE(RAW!C58,",",".")</f>
        <v/>
      </c>
      <c r="F58" t="str">
        <f>SUBSTITUTE(RAW!D58,",",".")</f>
        <v/>
      </c>
      <c r="G58" s="1" t="s">
        <v>22</v>
      </c>
      <c r="H58" t="str">
        <f>CONCATENATE("; ",RAW!P58)</f>
        <v xml:space="preserve">; </v>
      </c>
    </row>
    <row r="59" spans="1:8" x14ac:dyDescent="0.2">
      <c r="A59" s="1" t="s">
        <v>76</v>
      </c>
      <c r="B59" s="1" t="s">
        <v>77</v>
      </c>
      <c r="C59" t="str">
        <f>SUBSTITUTE(RAW!B59,",",".")</f>
        <v/>
      </c>
      <c r="D59" t="str">
        <f>SUBSTITUTE(MOD(ATAN2(AVERAGE(COS(RAW!E59*PI()/180),COS(RAW!F59*PI()/180)),AVERAGE(SIN(RAW!E59*PI()/180),SIN(RAW!F59*PI()/180)))*180/PI(),360),",",".")</f>
        <v>0</v>
      </c>
      <c r="E59" t="str">
        <f>SUBSTITUTE(RAW!C59,",",".")</f>
        <v/>
      </c>
      <c r="F59" t="str">
        <f>SUBSTITUTE(RAW!D59,",",".")</f>
        <v/>
      </c>
      <c r="G59" s="1" t="s">
        <v>22</v>
      </c>
      <c r="H59" t="str">
        <f>CONCATENATE("; ",RAW!P59)</f>
        <v xml:space="preserve">; </v>
      </c>
    </row>
    <row r="60" spans="1:8" x14ac:dyDescent="0.2">
      <c r="A60" s="1" t="s">
        <v>77</v>
      </c>
      <c r="B60" s="1" t="s">
        <v>78</v>
      </c>
      <c r="C60" t="str">
        <f>SUBSTITUTE(RAW!B60,",",".")</f>
        <v/>
      </c>
      <c r="D60" t="str">
        <f>SUBSTITUTE(MOD(ATAN2(AVERAGE(COS(RAW!E60*PI()/180),COS(RAW!F60*PI()/180)),AVERAGE(SIN(RAW!E60*PI()/180),SIN(RAW!F60*PI()/180)))*180/PI(),360),",",".")</f>
        <v>0</v>
      </c>
      <c r="E60" t="str">
        <f>SUBSTITUTE(RAW!C60,",",".")</f>
        <v/>
      </c>
      <c r="F60" t="str">
        <f>SUBSTITUTE(RAW!D60,",",".")</f>
        <v/>
      </c>
      <c r="G60" s="1" t="s">
        <v>22</v>
      </c>
      <c r="H60" t="str">
        <f>CONCATENATE("; ",RAW!P60)</f>
        <v xml:space="preserve">; </v>
      </c>
    </row>
    <row r="61" spans="1:8" x14ac:dyDescent="0.2">
      <c r="A61" s="1" t="s">
        <v>78</v>
      </c>
      <c r="B61" s="1" t="s">
        <v>79</v>
      </c>
      <c r="C61" t="str">
        <f>SUBSTITUTE(RAW!B61,",",".")</f>
        <v/>
      </c>
      <c r="D61" t="str">
        <f>SUBSTITUTE(MOD(ATAN2(AVERAGE(COS(RAW!E61*PI()/180),COS(RAW!F61*PI()/180)),AVERAGE(SIN(RAW!E61*PI()/180),SIN(RAW!F61*PI()/180)))*180/PI(),360),",",".")</f>
        <v>0</v>
      </c>
      <c r="E61" t="str">
        <f>SUBSTITUTE(RAW!C61,",",".")</f>
        <v/>
      </c>
      <c r="F61" t="str">
        <f>SUBSTITUTE(RAW!D61,",",".")</f>
        <v/>
      </c>
      <c r="G61" s="1" t="s">
        <v>22</v>
      </c>
      <c r="H61" t="str">
        <f>CONCATENATE("; ",RAW!P61)</f>
        <v xml:space="preserve">; </v>
      </c>
    </row>
    <row r="62" spans="1:8" x14ac:dyDescent="0.2">
      <c r="A62" s="1" t="s">
        <v>79</v>
      </c>
      <c r="B62" s="1" t="s">
        <v>80</v>
      </c>
      <c r="C62" t="str">
        <f>SUBSTITUTE(RAW!B62,",",".")</f>
        <v/>
      </c>
      <c r="D62" t="str">
        <f>SUBSTITUTE(MOD(ATAN2(AVERAGE(COS(RAW!E62*PI()/180),COS(RAW!F62*PI()/180)),AVERAGE(SIN(RAW!E62*PI()/180),SIN(RAW!F62*PI()/180)))*180/PI(),360),",",".")</f>
        <v>0</v>
      </c>
      <c r="E62" t="str">
        <f>SUBSTITUTE(RAW!C62,",",".")</f>
        <v/>
      </c>
      <c r="F62" t="str">
        <f>SUBSTITUTE(RAW!D62,",",".")</f>
        <v/>
      </c>
      <c r="G62" s="1" t="s">
        <v>22</v>
      </c>
      <c r="H62" t="str">
        <f>CONCATENATE("; ",RAW!P62)</f>
        <v xml:space="preserve">; </v>
      </c>
    </row>
    <row r="63" spans="1:8" x14ac:dyDescent="0.2">
      <c r="A63" s="1" t="s">
        <v>80</v>
      </c>
      <c r="B63" s="1" t="s">
        <v>81</v>
      </c>
      <c r="C63" t="str">
        <f>SUBSTITUTE(RAW!B63,",",".")</f>
        <v/>
      </c>
      <c r="D63" t="str">
        <f>SUBSTITUTE(MOD(ATAN2(AVERAGE(COS(RAW!E63*PI()/180),COS(RAW!F63*PI()/180)),AVERAGE(SIN(RAW!E63*PI()/180),SIN(RAW!F63*PI()/180)))*180/PI(),360),",",".")</f>
        <v>0</v>
      </c>
      <c r="E63" t="str">
        <f>SUBSTITUTE(RAW!C63,",",".")</f>
        <v/>
      </c>
      <c r="F63" t="str">
        <f>SUBSTITUTE(RAW!D63,",",".")</f>
        <v/>
      </c>
      <c r="G63" s="1" t="s">
        <v>22</v>
      </c>
      <c r="H63" t="str">
        <f>CONCATENATE("; ",RAW!P63)</f>
        <v xml:space="preserve">; </v>
      </c>
    </row>
    <row r="64" spans="1:8" x14ac:dyDescent="0.2">
      <c r="A64" s="1" t="s">
        <v>81</v>
      </c>
      <c r="B64" s="1" t="s">
        <v>82</v>
      </c>
      <c r="C64" t="str">
        <f>SUBSTITUTE(RAW!B64,",",".")</f>
        <v/>
      </c>
      <c r="D64" t="str">
        <f>SUBSTITUTE(MOD(ATAN2(AVERAGE(COS(RAW!E64*PI()/180),COS(RAW!F64*PI()/180)),AVERAGE(SIN(RAW!E64*PI()/180),SIN(RAW!F64*PI()/180)))*180/PI(),360),",",".")</f>
        <v>0</v>
      </c>
      <c r="E64" t="str">
        <f>SUBSTITUTE(RAW!C64,",",".")</f>
        <v/>
      </c>
      <c r="F64" t="str">
        <f>SUBSTITUTE(RAW!D64,",",".")</f>
        <v/>
      </c>
      <c r="G64" s="1" t="s">
        <v>22</v>
      </c>
      <c r="H64" t="str">
        <f>CONCATENATE("; ",RAW!P64)</f>
        <v xml:space="preserve">; </v>
      </c>
    </row>
    <row r="65" spans="1:8" x14ac:dyDescent="0.2">
      <c r="A65" s="1" t="s">
        <v>82</v>
      </c>
      <c r="B65" s="1" t="s">
        <v>83</v>
      </c>
      <c r="C65" t="str">
        <f>SUBSTITUTE(RAW!B65,",",".")</f>
        <v/>
      </c>
      <c r="D65" t="str">
        <f>SUBSTITUTE(MOD(ATAN2(AVERAGE(COS(RAW!E65*PI()/180),COS(RAW!F65*PI()/180)),AVERAGE(SIN(RAW!E65*PI()/180),SIN(RAW!F65*PI()/180)))*180/PI(),360),",",".")</f>
        <v>0</v>
      </c>
      <c r="E65" t="str">
        <f>SUBSTITUTE(RAW!C65,",",".")</f>
        <v/>
      </c>
      <c r="F65" t="str">
        <f>SUBSTITUTE(RAW!D65,",",".")</f>
        <v/>
      </c>
      <c r="G65" s="1" t="s">
        <v>22</v>
      </c>
      <c r="H65" t="str">
        <f>CONCATENATE("; ",RAW!P65)</f>
        <v xml:space="preserve">; </v>
      </c>
    </row>
    <row r="66" spans="1:8" x14ac:dyDescent="0.2">
      <c r="A66" s="1" t="s">
        <v>83</v>
      </c>
      <c r="B66" s="1" t="s">
        <v>84</v>
      </c>
      <c r="C66" t="str">
        <f>SUBSTITUTE(RAW!B66,",",".")</f>
        <v/>
      </c>
      <c r="D66" t="str">
        <f>SUBSTITUTE(MOD(ATAN2(AVERAGE(COS(RAW!E66*PI()/180),COS(RAW!F66*PI()/180)),AVERAGE(SIN(RAW!E66*PI()/180),SIN(RAW!F66*PI()/180)))*180/PI(),360),",",".")</f>
        <v>0</v>
      </c>
      <c r="E66" t="str">
        <f>SUBSTITUTE(RAW!C66,",",".")</f>
        <v/>
      </c>
      <c r="F66" t="str">
        <f>SUBSTITUTE(RAW!D66,",",".")</f>
        <v/>
      </c>
      <c r="G66" s="1" t="s">
        <v>22</v>
      </c>
      <c r="H66" t="str">
        <f>CONCATENATE("; ",RAW!P66)</f>
        <v xml:space="preserve">; </v>
      </c>
    </row>
    <row r="67" spans="1:8" x14ac:dyDescent="0.2">
      <c r="A67" s="1" t="s">
        <v>84</v>
      </c>
      <c r="B67" s="1" t="s">
        <v>85</v>
      </c>
      <c r="C67" t="str">
        <f>SUBSTITUTE(RAW!B67,",",".")</f>
        <v/>
      </c>
      <c r="D67" t="str">
        <f>SUBSTITUTE(MOD(ATAN2(AVERAGE(COS(RAW!E67*PI()/180),COS(RAW!F67*PI()/180)),AVERAGE(SIN(RAW!E67*PI()/180),SIN(RAW!F67*PI()/180)))*180/PI(),360),",",".")</f>
        <v>0</v>
      </c>
      <c r="E67" t="str">
        <f>SUBSTITUTE(RAW!C67,",",".")</f>
        <v/>
      </c>
      <c r="F67" t="str">
        <f>SUBSTITUTE(RAW!D67,",",".")</f>
        <v/>
      </c>
      <c r="G67" s="1" t="s">
        <v>22</v>
      </c>
      <c r="H67" t="str">
        <f>CONCATENATE("; ",RAW!P67)</f>
        <v xml:space="preserve">; </v>
      </c>
    </row>
    <row r="68" spans="1:8" x14ac:dyDescent="0.2">
      <c r="A68" s="1" t="s">
        <v>85</v>
      </c>
      <c r="B68" s="1" t="s">
        <v>86</v>
      </c>
      <c r="C68" t="str">
        <f>SUBSTITUTE(RAW!B68,",",".")</f>
        <v/>
      </c>
      <c r="D68" t="str">
        <f>SUBSTITUTE(MOD(ATAN2(AVERAGE(COS(RAW!E68*PI()/180),COS(RAW!F68*PI()/180)),AVERAGE(SIN(RAW!E68*PI()/180),SIN(RAW!F68*PI()/180)))*180/PI(),360),",",".")</f>
        <v>0</v>
      </c>
      <c r="E68" t="str">
        <f>SUBSTITUTE(RAW!C68,",",".")</f>
        <v/>
      </c>
      <c r="F68" t="str">
        <f>SUBSTITUTE(RAW!D68,",",".")</f>
        <v/>
      </c>
      <c r="G68" s="1" t="s">
        <v>22</v>
      </c>
      <c r="H68" t="str">
        <f>CONCATENATE("; ",RAW!P68)</f>
        <v xml:space="preserve">; </v>
      </c>
    </row>
    <row r="69" spans="1:8" x14ac:dyDescent="0.2">
      <c r="A69" s="1" t="s">
        <v>86</v>
      </c>
      <c r="B69" s="1" t="s">
        <v>87</v>
      </c>
      <c r="C69" t="str">
        <f>SUBSTITUTE(RAW!B69,",",".")</f>
        <v/>
      </c>
      <c r="D69" t="str">
        <f>SUBSTITUTE(MOD(ATAN2(AVERAGE(COS(RAW!E69*PI()/180),COS(RAW!F69*PI()/180)),AVERAGE(SIN(RAW!E69*PI()/180),SIN(RAW!F69*PI()/180)))*180/PI(),360),",",".")</f>
        <v>0</v>
      </c>
      <c r="E69" t="str">
        <f>SUBSTITUTE(RAW!C69,",",".")</f>
        <v/>
      </c>
      <c r="F69" t="str">
        <f>SUBSTITUTE(RAW!D69,",",".")</f>
        <v/>
      </c>
      <c r="G69" s="1" t="s">
        <v>22</v>
      </c>
      <c r="H69" t="str">
        <f>CONCATENATE("; ",RAW!P69)</f>
        <v xml:space="preserve">; </v>
      </c>
    </row>
    <row r="70" spans="1:8" x14ac:dyDescent="0.2">
      <c r="A70" s="1" t="s">
        <v>87</v>
      </c>
      <c r="B70" s="1" t="s">
        <v>88</v>
      </c>
      <c r="C70" t="str">
        <f>SUBSTITUTE(RAW!B70,",",".")</f>
        <v/>
      </c>
      <c r="D70" t="str">
        <f>SUBSTITUTE(MOD(ATAN2(AVERAGE(COS(RAW!E70*PI()/180),COS(RAW!F70*PI()/180)),AVERAGE(SIN(RAW!E70*PI()/180),SIN(RAW!F70*PI()/180)))*180/PI(),360),",",".")</f>
        <v>0</v>
      </c>
      <c r="E70" t="str">
        <f>SUBSTITUTE(RAW!C70,",",".")</f>
        <v/>
      </c>
      <c r="F70" t="str">
        <f>SUBSTITUTE(RAW!D70,",",".")</f>
        <v/>
      </c>
      <c r="G70" s="1" t="s">
        <v>22</v>
      </c>
      <c r="H70" t="str">
        <f>CONCATENATE("; ",RAW!P70)</f>
        <v xml:space="preserve">; </v>
      </c>
    </row>
    <row r="71" spans="1:8" x14ac:dyDescent="0.2">
      <c r="A71" s="1" t="s">
        <v>88</v>
      </c>
      <c r="B71" s="1" t="s">
        <v>89</v>
      </c>
      <c r="C71" t="str">
        <f>SUBSTITUTE(RAW!B71,",",".")</f>
        <v/>
      </c>
      <c r="D71" t="str">
        <f>SUBSTITUTE(MOD(ATAN2(AVERAGE(COS(RAW!E71*PI()/180),COS(RAW!F71*PI()/180)),AVERAGE(SIN(RAW!E71*PI()/180),SIN(RAW!F71*PI()/180)))*180/PI(),360),",",".")</f>
        <v>0</v>
      </c>
      <c r="E71" t="str">
        <f>SUBSTITUTE(RAW!C71,",",".")</f>
        <v/>
      </c>
      <c r="F71" t="str">
        <f>SUBSTITUTE(RAW!D71,",",".")</f>
        <v/>
      </c>
      <c r="G71" s="1" t="s">
        <v>22</v>
      </c>
      <c r="H71" t="str">
        <f>CONCATENATE("; ",RAW!P71)</f>
        <v xml:space="preserve">; </v>
      </c>
    </row>
    <row r="72" spans="1:8" x14ac:dyDescent="0.2">
      <c r="A72" s="1" t="s">
        <v>89</v>
      </c>
      <c r="B72" s="1" t="s">
        <v>90</v>
      </c>
      <c r="C72" t="str">
        <f>SUBSTITUTE(RAW!B72,",",".")</f>
        <v/>
      </c>
      <c r="D72" t="str">
        <f>SUBSTITUTE(MOD(ATAN2(AVERAGE(COS(RAW!E72*PI()/180),COS(RAW!F72*PI()/180)),AVERAGE(SIN(RAW!E72*PI()/180),SIN(RAW!F72*PI()/180)))*180/PI(),360),",",".")</f>
        <v>0</v>
      </c>
      <c r="E72" t="str">
        <f>SUBSTITUTE(RAW!C72,",",".")</f>
        <v/>
      </c>
      <c r="F72" t="str">
        <f>SUBSTITUTE(RAW!D72,",",".")</f>
        <v/>
      </c>
      <c r="G72" s="1" t="s">
        <v>22</v>
      </c>
      <c r="H72" t="str">
        <f>CONCATENATE("; ",RAW!P72)</f>
        <v xml:space="preserve">; </v>
      </c>
    </row>
    <row r="73" spans="1:8" x14ac:dyDescent="0.2">
      <c r="A73" s="1" t="s">
        <v>90</v>
      </c>
      <c r="B73" s="1" t="s">
        <v>91</v>
      </c>
      <c r="C73" t="str">
        <f>SUBSTITUTE(RAW!B73,",",".")</f>
        <v/>
      </c>
      <c r="D73" t="str">
        <f>SUBSTITUTE(MOD(ATAN2(AVERAGE(COS(RAW!E73*PI()/180),COS(RAW!F73*PI()/180)),AVERAGE(SIN(RAW!E73*PI()/180),SIN(RAW!F73*PI()/180)))*180/PI(),360),",",".")</f>
        <v>0</v>
      </c>
      <c r="E73" t="str">
        <f>SUBSTITUTE(RAW!C73,",",".")</f>
        <v/>
      </c>
      <c r="F73" t="str">
        <f>SUBSTITUTE(RAW!D73,",",".")</f>
        <v/>
      </c>
      <c r="G73" s="1" t="s">
        <v>22</v>
      </c>
      <c r="H73" t="str">
        <f>CONCATENATE("; ",RAW!P73)</f>
        <v xml:space="preserve">; </v>
      </c>
    </row>
    <row r="74" spans="1:8" x14ac:dyDescent="0.2">
      <c r="A74" s="1" t="s">
        <v>91</v>
      </c>
      <c r="B74" s="1" t="s">
        <v>92</v>
      </c>
      <c r="C74" t="str">
        <f>SUBSTITUTE(RAW!B74,",",".")</f>
        <v/>
      </c>
      <c r="D74" t="str">
        <f>SUBSTITUTE(MOD(ATAN2(AVERAGE(COS(RAW!E74*PI()/180),COS(RAW!F74*PI()/180)),AVERAGE(SIN(RAW!E74*PI()/180),SIN(RAW!F74*PI()/180)))*180/PI(),360),",",".")</f>
        <v>0</v>
      </c>
      <c r="E74" t="str">
        <f>SUBSTITUTE(RAW!C74,",",".")</f>
        <v/>
      </c>
      <c r="F74" t="str">
        <f>SUBSTITUTE(RAW!D74,",",".")</f>
        <v/>
      </c>
      <c r="G74" s="1" t="s">
        <v>22</v>
      </c>
      <c r="H74" t="str">
        <f>CONCATENATE("; ",RAW!P74)</f>
        <v xml:space="preserve">; </v>
      </c>
    </row>
    <row r="75" spans="1:8" x14ac:dyDescent="0.2">
      <c r="A75" s="1" t="s">
        <v>92</v>
      </c>
      <c r="B75" s="1" t="s">
        <v>93</v>
      </c>
      <c r="C75" t="str">
        <f>SUBSTITUTE(RAW!B75,",",".")</f>
        <v/>
      </c>
      <c r="D75" t="str">
        <f>SUBSTITUTE(MOD(ATAN2(AVERAGE(COS(RAW!E75*PI()/180),COS(RAW!F75*PI()/180)),AVERAGE(SIN(RAW!E75*PI()/180),SIN(RAW!F75*PI()/180)))*180/PI(),360),",",".")</f>
        <v>0</v>
      </c>
      <c r="E75" t="str">
        <f>SUBSTITUTE(RAW!C75,",",".")</f>
        <v/>
      </c>
      <c r="F75" t="str">
        <f>SUBSTITUTE(RAW!D75,",",".")</f>
        <v/>
      </c>
      <c r="G75" s="1" t="s">
        <v>22</v>
      </c>
      <c r="H75" t="str">
        <f>CONCATENATE("; ",RAW!P75)</f>
        <v xml:space="preserve">; </v>
      </c>
    </row>
    <row r="76" spans="1:8" x14ac:dyDescent="0.2">
      <c r="A76" s="1" t="s">
        <v>93</v>
      </c>
      <c r="B76" s="1" t="s">
        <v>94</v>
      </c>
      <c r="C76" t="str">
        <f>SUBSTITUTE(RAW!B76,",",".")</f>
        <v/>
      </c>
      <c r="D76" t="str">
        <f>SUBSTITUTE(MOD(ATAN2(AVERAGE(COS(RAW!E76*PI()/180),COS(RAW!F76*PI()/180)),AVERAGE(SIN(RAW!E76*PI()/180),SIN(RAW!F76*PI()/180)))*180/PI(),360),",",".")</f>
        <v>0</v>
      </c>
      <c r="E76" t="str">
        <f>SUBSTITUTE(RAW!C76,",",".")</f>
        <v/>
      </c>
      <c r="F76" t="str">
        <f>SUBSTITUTE(RAW!D76,",",".")</f>
        <v/>
      </c>
      <c r="G76" s="1" t="s">
        <v>22</v>
      </c>
      <c r="H76" t="str">
        <f>CONCATENATE("; ",RAW!P76)</f>
        <v xml:space="preserve">; </v>
      </c>
    </row>
    <row r="77" spans="1:8" x14ac:dyDescent="0.2">
      <c r="A77" s="1" t="s">
        <v>94</v>
      </c>
      <c r="B77" s="1" t="s">
        <v>95</v>
      </c>
      <c r="C77" t="str">
        <f>SUBSTITUTE(RAW!B77,",",".")</f>
        <v/>
      </c>
      <c r="D77" t="str">
        <f>SUBSTITUTE(MOD(ATAN2(AVERAGE(COS(RAW!E77*PI()/180),COS(RAW!F77*PI()/180)),AVERAGE(SIN(RAW!E77*PI()/180),SIN(RAW!F77*PI()/180)))*180/PI(),360),",",".")</f>
        <v>0</v>
      </c>
      <c r="E77" t="str">
        <f>SUBSTITUTE(RAW!C77,",",".")</f>
        <v/>
      </c>
      <c r="F77" t="str">
        <f>SUBSTITUTE(RAW!D77,",",".")</f>
        <v/>
      </c>
      <c r="G77" s="1" t="s">
        <v>22</v>
      </c>
      <c r="H77" t="str">
        <f>CONCATENATE("; ",RAW!P77)</f>
        <v xml:space="preserve">; </v>
      </c>
    </row>
    <row r="78" spans="1:8" x14ac:dyDescent="0.2">
      <c r="A78" s="1" t="s">
        <v>95</v>
      </c>
      <c r="B78" s="1" t="s">
        <v>96</v>
      </c>
      <c r="C78" t="str">
        <f>SUBSTITUTE(RAW!B78,",",".")</f>
        <v/>
      </c>
      <c r="D78" t="str">
        <f>SUBSTITUTE(MOD(ATAN2(AVERAGE(COS(RAW!E78*PI()/180),COS(RAW!F78*PI()/180)),AVERAGE(SIN(RAW!E78*PI()/180),SIN(RAW!F78*PI()/180)))*180/PI(),360),",",".")</f>
        <v>0</v>
      </c>
      <c r="E78" t="str">
        <f>SUBSTITUTE(RAW!C78,",",".")</f>
        <v/>
      </c>
      <c r="F78" t="str">
        <f>SUBSTITUTE(RAW!D78,",",".")</f>
        <v/>
      </c>
      <c r="G78" s="1" t="s">
        <v>22</v>
      </c>
      <c r="H78" t="str">
        <f>CONCATENATE("; ",RAW!P78)</f>
        <v xml:space="preserve">; </v>
      </c>
    </row>
    <row r="79" spans="1:8" x14ac:dyDescent="0.2">
      <c r="A79" s="1" t="s">
        <v>96</v>
      </c>
      <c r="B79" s="1" t="s">
        <v>97</v>
      </c>
      <c r="C79" t="str">
        <f>SUBSTITUTE(RAW!B79,",",".")</f>
        <v/>
      </c>
      <c r="D79" t="str">
        <f>SUBSTITUTE(MOD(ATAN2(AVERAGE(COS(RAW!E79*PI()/180),COS(RAW!F79*PI()/180)),AVERAGE(SIN(RAW!E79*PI()/180),SIN(RAW!F79*PI()/180)))*180/PI(),360),",",".")</f>
        <v>0</v>
      </c>
      <c r="E79" t="str">
        <f>SUBSTITUTE(RAW!C79,",",".")</f>
        <v/>
      </c>
      <c r="F79" t="str">
        <f>SUBSTITUTE(RAW!D79,",",".")</f>
        <v/>
      </c>
      <c r="G79" s="1" t="s">
        <v>22</v>
      </c>
      <c r="H79" t="str">
        <f>CONCATENATE("; ",RAW!P79)</f>
        <v xml:space="preserve">; </v>
      </c>
    </row>
    <row r="80" spans="1:8" x14ac:dyDescent="0.2">
      <c r="A80" s="1" t="s">
        <v>97</v>
      </c>
      <c r="B80" s="1" t="s">
        <v>98</v>
      </c>
      <c r="C80" t="str">
        <f>SUBSTITUTE(RAW!B80,",",".")</f>
        <v/>
      </c>
      <c r="D80" t="str">
        <f>SUBSTITUTE(MOD(ATAN2(AVERAGE(COS(RAW!E80*PI()/180),COS(RAW!F80*PI()/180)),AVERAGE(SIN(RAW!E80*PI()/180),SIN(RAW!F80*PI()/180)))*180/PI(),360),",",".")</f>
        <v>0</v>
      </c>
      <c r="E80" t="str">
        <f>SUBSTITUTE(RAW!C80,",",".")</f>
        <v/>
      </c>
      <c r="F80" t="str">
        <f>SUBSTITUTE(RAW!D80,",",".")</f>
        <v/>
      </c>
      <c r="G80" s="1" t="s">
        <v>22</v>
      </c>
      <c r="H80" t="str">
        <f>CONCATENATE("; ",RAW!P80)</f>
        <v xml:space="preserve">; </v>
      </c>
    </row>
    <row r="81" spans="1:8" x14ac:dyDescent="0.2">
      <c r="A81" s="1" t="s">
        <v>98</v>
      </c>
      <c r="B81" s="1" t="s">
        <v>99</v>
      </c>
      <c r="C81" t="str">
        <f>SUBSTITUTE(RAW!B81,",",".")</f>
        <v/>
      </c>
      <c r="D81" t="str">
        <f>SUBSTITUTE(MOD(ATAN2(AVERAGE(COS(RAW!E81*PI()/180),COS(RAW!F81*PI()/180)),AVERAGE(SIN(RAW!E81*PI()/180),SIN(RAW!F81*PI()/180)))*180/PI(),360),",",".")</f>
        <v>0</v>
      </c>
      <c r="E81" t="str">
        <f>SUBSTITUTE(RAW!C81,",",".")</f>
        <v/>
      </c>
      <c r="F81" t="str">
        <f>SUBSTITUTE(RAW!D81,",",".")</f>
        <v/>
      </c>
      <c r="G81" s="1" t="s">
        <v>22</v>
      </c>
      <c r="H81" t="str">
        <f>CONCATENATE("; ",RAW!P81)</f>
        <v xml:space="preserve">; </v>
      </c>
    </row>
    <row r="82" spans="1:8" x14ac:dyDescent="0.2">
      <c r="A82" s="1" t="s">
        <v>99</v>
      </c>
      <c r="B82" s="1" t="s">
        <v>100</v>
      </c>
      <c r="C82" t="str">
        <f>SUBSTITUTE(RAW!B82,",",".")</f>
        <v/>
      </c>
      <c r="D82" t="str">
        <f>SUBSTITUTE(MOD(ATAN2(AVERAGE(COS(RAW!E82*PI()/180),COS(RAW!F82*PI()/180)),AVERAGE(SIN(RAW!E82*PI()/180),SIN(RAW!F82*PI()/180)))*180/PI(),360),",",".")</f>
        <v>0</v>
      </c>
      <c r="E82" t="str">
        <f>SUBSTITUTE(RAW!C82,",",".")</f>
        <v/>
      </c>
      <c r="F82" t="str">
        <f>SUBSTITUTE(RAW!D82,",",".")</f>
        <v/>
      </c>
      <c r="G82" s="1" t="s">
        <v>22</v>
      </c>
      <c r="H82" t="str">
        <f>CONCATENATE("; ",RAW!P82)</f>
        <v xml:space="preserve">; </v>
      </c>
    </row>
    <row r="83" spans="1:8" x14ac:dyDescent="0.2">
      <c r="A83" s="1" t="s">
        <v>100</v>
      </c>
      <c r="B83" s="1" t="s">
        <v>101</v>
      </c>
      <c r="C83" t="str">
        <f>SUBSTITUTE(RAW!B83,",",".")</f>
        <v/>
      </c>
      <c r="D83" t="str">
        <f>SUBSTITUTE(MOD(ATAN2(AVERAGE(COS(RAW!E83*PI()/180),COS(RAW!F83*PI()/180)),AVERAGE(SIN(RAW!E83*PI()/180),SIN(RAW!F83*PI()/180)))*180/PI(),360),",",".")</f>
        <v>0</v>
      </c>
      <c r="E83" t="str">
        <f>SUBSTITUTE(RAW!C83,",",".")</f>
        <v/>
      </c>
      <c r="F83" t="str">
        <f>SUBSTITUTE(RAW!D83,",",".")</f>
        <v/>
      </c>
      <c r="G83" s="1" t="s">
        <v>22</v>
      </c>
      <c r="H83" t="str">
        <f>CONCATENATE("; ",RAW!P83)</f>
        <v xml:space="preserve">; </v>
      </c>
    </row>
    <row r="84" spans="1:8" x14ac:dyDescent="0.2">
      <c r="A84" s="1" t="s">
        <v>101</v>
      </c>
      <c r="B84" s="1" t="s">
        <v>102</v>
      </c>
      <c r="C84" t="str">
        <f>SUBSTITUTE(RAW!B84,",",".")</f>
        <v/>
      </c>
      <c r="D84" t="str">
        <f>SUBSTITUTE(MOD(ATAN2(AVERAGE(COS(RAW!E84*PI()/180),COS(RAW!F84*PI()/180)),AVERAGE(SIN(RAW!E84*PI()/180),SIN(RAW!F84*PI()/180)))*180/PI(),360),",",".")</f>
        <v>0</v>
      </c>
      <c r="E84" t="str">
        <f>SUBSTITUTE(RAW!C84,",",".")</f>
        <v/>
      </c>
      <c r="F84" t="str">
        <f>SUBSTITUTE(RAW!D84,",",".")</f>
        <v/>
      </c>
      <c r="G84" s="1" t="s">
        <v>22</v>
      </c>
      <c r="H84" t="str">
        <f>CONCATENATE("; ",RAW!P84)</f>
        <v xml:space="preserve">; </v>
      </c>
    </row>
    <row r="85" spans="1:8" x14ac:dyDescent="0.2">
      <c r="A85" s="1" t="s">
        <v>102</v>
      </c>
      <c r="B85" s="1" t="s">
        <v>103</v>
      </c>
      <c r="C85" t="str">
        <f>SUBSTITUTE(RAW!B85,",",".")</f>
        <v/>
      </c>
      <c r="D85" t="str">
        <f>SUBSTITUTE(MOD(ATAN2(AVERAGE(COS(RAW!E85*PI()/180),COS(RAW!F85*PI()/180)),AVERAGE(SIN(RAW!E85*PI()/180),SIN(RAW!F85*PI()/180)))*180/PI(),360),",",".")</f>
        <v>0</v>
      </c>
      <c r="E85" t="str">
        <f>SUBSTITUTE(RAW!C85,",",".")</f>
        <v/>
      </c>
      <c r="F85" t="str">
        <f>SUBSTITUTE(RAW!D85,",",".")</f>
        <v/>
      </c>
      <c r="G85" s="1" t="s">
        <v>22</v>
      </c>
      <c r="H85" t="str">
        <f>CONCATENATE("; ",RAW!P85)</f>
        <v xml:space="preserve">; </v>
      </c>
    </row>
    <row r="86" spans="1:8" x14ac:dyDescent="0.2">
      <c r="A86" s="1" t="s">
        <v>103</v>
      </c>
      <c r="B86" s="1" t="s">
        <v>104</v>
      </c>
      <c r="C86" t="str">
        <f>SUBSTITUTE(RAW!B86,",",".")</f>
        <v/>
      </c>
      <c r="D86" t="str">
        <f>SUBSTITUTE(MOD(ATAN2(AVERAGE(COS(RAW!E86*PI()/180),COS(RAW!F86*PI()/180)),AVERAGE(SIN(RAW!E86*PI()/180),SIN(RAW!F86*PI()/180)))*180/PI(),360),",",".")</f>
        <v>0</v>
      </c>
      <c r="E86" t="str">
        <f>SUBSTITUTE(RAW!C86,",",".")</f>
        <v/>
      </c>
      <c r="F86" t="str">
        <f>SUBSTITUTE(RAW!D86,",",".")</f>
        <v/>
      </c>
      <c r="G86" s="1" t="s">
        <v>22</v>
      </c>
      <c r="H86" t="str">
        <f>CONCATENATE("; ",RAW!P86)</f>
        <v xml:space="preserve">; </v>
      </c>
    </row>
    <row r="87" spans="1:8" x14ac:dyDescent="0.2">
      <c r="A87" s="1" t="s">
        <v>104</v>
      </c>
      <c r="B87" s="1" t="s">
        <v>105</v>
      </c>
      <c r="C87" t="str">
        <f>SUBSTITUTE(RAW!B87,",",".")</f>
        <v/>
      </c>
      <c r="D87" t="str">
        <f>SUBSTITUTE(MOD(ATAN2(AVERAGE(COS(RAW!E87*PI()/180),COS(RAW!F87*PI()/180)),AVERAGE(SIN(RAW!E87*PI()/180),SIN(RAW!F87*PI()/180)))*180/PI(),360),",",".")</f>
        <v>0</v>
      </c>
      <c r="E87" t="str">
        <f>SUBSTITUTE(RAW!C87,",",".")</f>
        <v/>
      </c>
      <c r="F87" t="str">
        <f>SUBSTITUTE(RAW!D87,",",".")</f>
        <v/>
      </c>
      <c r="G87" s="1" t="s">
        <v>22</v>
      </c>
      <c r="H87" t="str">
        <f>CONCATENATE("; ",RAW!P87)</f>
        <v xml:space="preserve">; </v>
      </c>
    </row>
    <row r="88" spans="1:8" x14ac:dyDescent="0.2">
      <c r="A88" s="1" t="s">
        <v>105</v>
      </c>
      <c r="B88" s="1" t="s">
        <v>106</v>
      </c>
      <c r="C88" t="str">
        <f>SUBSTITUTE(RAW!B88,",",".")</f>
        <v/>
      </c>
      <c r="D88" t="str">
        <f>SUBSTITUTE(MOD(ATAN2(AVERAGE(COS(RAW!E88*PI()/180),COS(RAW!F88*PI()/180)),AVERAGE(SIN(RAW!E88*PI()/180),SIN(RAW!F88*PI()/180)))*180/PI(),360),",",".")</f>
        <v>0</v>
      </c>
      <c r="E88" t="str">
        <f>SUBSTITUTE(RAW!C88,",",".")</f>
        <v/>
      </c>
      <c r="F88" t="str">
        <f>SUBSTITUTE(RAW!D88,",",".")</f>
        <v/>
      </c>
      <c r="G88" s="1" t="s">
        <v>22</v>
      </c>
      <c r="H88" t="str">
        <f>CONCATENATE("; ",RAW!P88)</f>
        <v xml:space="preserve">; </v>
      </c>
    </row>
    <row r="89" spans="1:8" x14ac:dyDescent="0.2">
      <c r="A89" s="1" t="s">
        <v>106</v>
      </c>
      <c r="B89" s="1" t="s">
        <v>107</v>
      </c>
      <c r="C89" t="str">
        <f>SUBSTITUTE(RAW!B89,",",".")</f>
        <v/>
      </c>
      <c r="D89" t="str">
        <f>SUBSTITUTE(MOD(ATAN2(AVERAGE(COS(RAW!E89*PI()/180),COS(RAW!F89*PI()/180)),AVERAGE(SIN(RAW!E89*PI()/180),SIN(RAW!F89*PI()/180)))*180/PI(),360),",",".")</f>
        <v>0</v>
      </c>
      <c r="E89" t="str">
        <f>SUBSTITUTE(RAW!C89,",",".")</f>
        <v/>
      </c>
      <c r="F89" t="str">
        <f>SUBSTITUTE(RAW!D89,",",".")</f>
        <v/>
      </c>
      <c r="G89" s="1" t="s">
        <v>22</v>
      </c>
      <c r="H89" t="str">
        <f>CONCATENATE("; ",RAW!P89)</f>
        <v xml:space="preserve">; </v>
      </c>
    </row>
    <row r="90" spans="1:8" x14ac:dyDescent="0.2">
      <c r="A90" s="1" t="s">
        <v>107</v>
      </c>
      <c r="B90" s="1" t="s">
        <v>108</v>
      </c>
      <c r="C90" t="str">
        <f>SUBSTITUTE(RAW!B90,",",".")</f>
        <v/>
      </c>
      <c r="D90" t="str">
        <f>SUBSTITUTE(MOD(ATAN2(AVERAGE(COS(RAW!E90*PI()/180),COS(RAW!F90*PI()/180)),AVERAGE(SIN(RAW!E90*PI()/180),SIN(RAW!F90*PI()/180)))*180/PI(),360),",",".")</f>
        <v>0</v>
      </c>
      <c r="E90" t="str">
        <f>SUBSTITUTE(RAW!C90,",",".")</f>
        <v/>
      </c>
      <c r="F90" t="str">
        <f>SUBSTITUTE(RAW!D90,",",".")</f>
        <v/>
      </c>
      <c r="G90" s="1" t="s">
        <v>22</v>
      </c>
      <c r="H90" t="str">
        <f>CONCATENATE("; ",RAW!P90)</f>
        <v xml:space="preserve">; </v>
      </c>
    </row>
    <row r="91" spans="1:8" x14ac:dyDescent="0.2">
      <c r="A91" s="1" t="s">
        <v>108</v>
      </c>
      <c r="B91" s="1" t="s">
        <v>109</v>
      </c>
      <c r="C91" t="str">
        <f>SUBSTITUTE(RAW!B91,",",".")</f>
        <v/>
      </c>
      <c r="D91" t="str">
        <f>SUBSTITUTE(MOD(ATAN2(AVERAGE(COS(RAW!E91*PI()/180),COS(RAW!F91*PI()/180)),AVERAGE(SIN(RAW!E91*PI()/180),SIN(RAW!F91*PI()/180)))*180/PI(),360),",",".")</f>
        <v>0</v>
      </c>
      <c r="E91" t="str">
        <f>SUBSTITUTE(RAW!C91,",",".")</f>
        <v/>
      </c>
      <c r="F91" t="str">
        <f>SUBSTITUTE(RAW!D91,",",".")</f>
        <v/>
      </c>
      <c r="G91" s="1" t="s">
        <v>22</v>
      </c>
      <c r="H91" t="str">
        <f>CONCATENATE("; ",RAW!P91)</f>
        <v xml:space="preserve">; </v>
      </c>
    </row>
    <row r="92" spans="1:8" x14ac:dyDescent="0.2">
      <c r="A92" s="1" t="s">
        <v>109</v>
      </c>
      <c r="B92" s="1" t="s">
        <v>110</v>
      </c>
      <c r="C92" t="str">
        <f>SUBSTITUTE(RAW!B92,",",".")</f>
        <v/>
      </c>
      <c r="D92" t="str">
        <f>SUBSTITUTE(MOD(ATAN2(AVERAGE(COS(RAW!E92*PI()/180),COS(RAW!F92*PI()/180)),AVERAGE(SIN(RAW!E92*PI()/180),SIN(RAW!F92*PI()/180)))*180/PI(),360),",",".")</f>
        <v>0</v>
      </c>
      <c r="E92" t="str">
        <f>SUBSTITUTE(RAW!C92,",",".")</f>
        <v/>
      </c>
      <c r="F92" t="str">
        <f>SUBSTITUTE(RAW!D92,",",".")</f>
        <v/>
      </c>
      <c r="G92" s="1" t="s">
        <v>22</v>
      </c>
      <c r="H92" t="str">
        <f>CONCATENATE("; ",RAW!P92)</f>
        <v xml:space="preserve">; </v>
      </c>
    </row>
    <row r="93" spans="1:8" x14ac:dyDescent="0.2">
      <c r="A93" s="1" t="s">
        <v>110</v>
      </c>
      <c r="B93" s="1" t="s">
        <v>111</v>
      </c>
      <c r="C93" t="str">
        <f>SUBSTITUTE(RAW!B93,",",".")</f>
        <v/>
      </c>
      <c r="D93" t="str">
        <f>SUBSTITUTE(MOD(ATAN2(AVERAGE(COS(RAW!E93*PI()/180),COS(RAW!F93*PI()/180)),AVERAGE(SIN(RAW!E93*PI()/180),SIN(RAW!F93*PI()/180)))*180/PI(),360),",",".")</f>
        <v>0</v>
      </c>
      <c r="E93" t="str">
        <f>SUBSTITUTE(RAW!C93,",",".")</f>
        <v/>
      </c>
      <c r="F93" t="str">
        <f>SUBSTITUTE(RAW!D93,",",".")</f>
        <v/>
      </c>
      <c r="G93" s="1" t="s">
        <v>22</v>
      </c>
      <c r="H93" t="str">
        <f>CONCATENATE("; ",RAW!P93)</f>
        <v xml:space="preserve">; </v>
      </c>
    </row>
    <row r="94" spans="1:8" x14ac:dyDescent="0.2">
      <c r="A94" s="1" t="s">
        <v>111</v>
      </c>
      <c r="B94" s="1" t="s">
        <v>112</v>
      </c>
      <c r="C94" t="str">
        <f>SUBSTITUTE(RAW!B94,",",".")</f>
        <v/>
      </c>
      <c r="D94" t="str">
        <f>SUBSTITUTE(MOD(ATAN2(AVERAGE(COS(RAW!E94*PI()/180),COS(RAW!F94*PI()/180)),AVERAGE(SIN(RAW!E94*PI()/180),SIN(RAW!F94*PI()/180)))*180/PI(),360),",",".")</f>
        <v>0</v>
      </c>
      <c r="E94" t="str">
        <f>SUBSTITUTE(RAW!C94,",",".")</f>
        <v/>
      </c>
      <c r="F94" t="str">
        <f>SUBSTITUTE(RAW!D94,",",".")</f>
        <v/>
      </c>
      <c r="G94" s="1" t="s">
        <v>22</v>
      </c>
      <c r="H94" t="str">
        <f>CONCATENATE("; ",RAW!P94)</f>
        <v xml:space="preserve">; </v>
      </c>
    </row>
    <row r="95" spans="1:8" x14ac:dyDescent="0.2">
      <c r="A95" s="1" t="s">
        <v>112</v>
      </c>
      <c r="B95" s="1" t="s">
        <v>113</v>
      </c>
      <c r="C95" t="str">
        <f>SUBSTITUTE(RAW!B95,",",".")</f>
        <v/>
      </c>
      <c r="D95" t="str">
        <f>SUBSTITUTE(MOD(ATAN2(AVERAGE(COS(RAW!E95*PI()/180),COS(RAW!F95*PI()/180)),AVERAGE(SIN(RAW!E95*PI()/180),SIN(RAW!F95*PI()/180)))*180/PI(),360),",",".")</f>
        <v>0</v>
      </c>
      <c r="E95" t="str">
        <f>SUBSTITUTE(RAW!C95,",",".")</f>
        <v/>
      </c>
      <c r="F95" t="str">
        <f>SUBSTITUTE(RAW!D95,",",".")</f>
        <v/>
      </c>
      <c r="G95" s="1" t="s">
        <v>22</v>
      </c>
      <c r="H95" t="str">
        <f>CONCATENATE("; ",RAW!P95)</f>
        <v xml:space="preserve">; </v>
      </c>
    </row>
    <row r="96" spans="1:8" x14ac:dyDescent="0.2">
      <c r="A96" s="1" t="s">
        <v>113</v>
      </c>
      <c r="B96" s="1" t="s">
        <v>114</v>
      </c>
      <c r="C96" t="str">
        <f>SUBSTITUTE(RAW!B96,",",".")</f>
        <v/>
      </c>
      <c r="D96" t="str">
        <f>SUBSTITUTE(MOD(ATAN2(AVERAGE(COS(RAW!E96*PI()/180),COS(RAW!F96*PI()/180)),AVERAGE(SIN(RAW!E96*PI()/180),SIN(RAW!F96*PI()/180)))*180/PI(),360),",",".")</f>
        <v>0</v>
      </c>
      <c r="E96" t="str">
        <f>SUBSTITUTE(RAW!C96,",",".")</f>
        <v/>
      </c>
      <c r="F96" t="str">
        <f>SUBSTITUTE(RAW!D96,",",".")</f>
        <v/>
      </c>
      <c r="G96" s="1" t="s">
        <v>22</v>
      </c>
      <c r="H96" t="str">
        <f>CONCATENATE("; ",RAW!P96)</f>
        <v xml:space="preserve">; </v>
      </c>
    </row>
    <row r="97" spans="1:8" x14ac:dyDescent="0.2">
      <c r="A97" s="1" t="s">
        <v>114</v>
      </c>
      <c r="B97" s="1" t="s">
        <v>115</v>
      </c>
      <c r="C97" t="str">
        <f>SUBSTITUTE(RAW!B97,",",".")</f>
        <v/>
      </c>
      <c r="D97" t="str">
        <f>SUBSTITUTE(MOD(ATAN2(AVERAGE(COS(RAW!E97*PI()/180),COS(RAW!F97*PI()/180)),AVERAGE(SIN(RAW!E97*PI()/180),SIN(RAW!F97*PI()/180)))*180/PI(),360),",",".")</f>
        <v>0</v>
      </c>
      <c r="E97" t="str">
        <f>SUBSTITUTE(RAW!C97,",",".")</f>
        <v/>
      </c>
      <c r="F97" t="str">
        <f>SUBSTITUTE(RAW!D97,",",".")</f>
        <v/>
      </c>
      <c r="G97" s="1" t="s">
        <v>22</v>
      </c>
      <c r="H97" t="str">
        <f>CONCATENATE("; ",RAW!P97)</f>
        <v xml:space="preserve">; </v>
      </c>
    </row>
    <row r="98" spans="1:8" x14ac:dyDescent="0.2">
      <c r="A98" s="1" t="s">
        <v>115</v>
      </c>
      <c r="B98" s="1" t="s">
        <v>116</v>
      </c>
      <c r="C98" t="str">
        <f>SUBSTITUTE(RAW!B98,",",".")</f>
        <v/>
      </c>
      <c r="D98" t="str">
        <f>SUBSTITUTE(MOD(ATAN2(AVERAGE(COS(RAW!E98*PI()/180),COS(RAW!F98*PI()/180)),AVERAGE(SIN(RAW!E98*PI()/180),SIN(RAW!F98*PI()/180)))*180/PI(),360),",",".")</f>
        <v>0</v>
      </c>
      <c r="E98" t="str">
        <f>SUBSTITUTE(RAW!C98,",",".")</f>
        <v/>
      </c>
      <c r="F98" t="str">
        <f>SUBSTITUTE(RAW!D98,",",".")</f>
        <v/>
      </c>
      <c r="G98" s="1" t="s">
        <v>22</v>
      </c>
      <c r="H98" t="str">
        <f>CONCATENATE("; ",RAW!P98)</f>
        <v xml:space="preserve">; </v>
      </c>
    </row>
    <row r="99" spans="1:8" x14ac:dyDescent="0.2">
      <c r="A99" s="1" t="s">
        <v>116</v>
      </c>
      <c r="B99" s="1" t="s">
        <v>117</v>
      </c>
      <c r="C99" t="str">
        <f>SUBSTITUTE(RAW!B99,",",".")</f>
        <v/>
      </c>
      <c r="D99" t="str">
        <f>SUBSTITUTE(MOD(ATAN2(AVERAGE(COS(RAW!E99*PI()/180),COS(RAW!F99*PI()/180)),AVERAGE(SIN(RAW!E99*PI()/180),SIN(RAW!F99*PI()/180)))*180/PI(),360),",",".")</f>
        <v>0</v>
      </c>
      <c r="E99" t="str">
        <f>SUBSTITUTE(RAW!C99,",",".")</f>
        <v/>
      </c>
      <c r="F99" t="str">
        <f>SUBSTITUTE(RAW!D99,",",".")</f>
        <v/>
      </c>
      <c r="G99" s="1" t="s">
        <v>22</v>
      </c>
      <c r="H99" t="str">
        <f>CONCATENATE("; ",RAW!P99)</f>
        <v xml:space="preserve">; </v>
      </c>
    </row>
    <row r="100" spans="1:8" x14ac:dyDescent="0.2">
      <c r="A100" s="1" t="s">
        <v>117</v>
      </c>
      <c r="B100" s="1" t="s">
        <v>118</v>
      </c>
      <c r="C100" t="str">
        <f>SUBSTITUTE(RAW!B100,",",".")</f>
        <v/>
      </c>
      <c r="D100" t="str">
        <f>SUBSTITUTE(MOD(ATAN2(AVERAGE(COS(RAW!E100*PI()/180),COS(RAW!F100*PI()/180)),AVERAGE(SIN(RAW!E100*PI()/180),SIN(RAW!F100*PI()/180)))*180/PI(),360),",",".")</f>
        <v>0</v>
      </c>
      <c r="E100" t="str">
        <f>SUBSTITUTE(RAW!C100,",",".")</f>
        <v/>
      </c>
      <c r="F100" t="str">
        <f>SUBSTITUTE(RAW!D100,",",".")</f>
        <v/>
      </c>
      <c r="G100" s="1" t="s">
        <v>22</v>
      </c>
      <c r="H100" t="str">
        <f>CONCATENATE("; ",RAW!P100)</f>
        <v xml:space="preserve">; </v>
      </c>
    </row>
    <row r="101" spans="1:8" x14ac:dyDescent="0.2">
      <c r="A101" s="1" t="s">
        <v>118</v>
      </c>
      <c r="B101" s="1" t="s">
        <v>119</v>
      </c>
      <c r="C101" t="str">
        <f>SUBSTITUTE(RAW!B101,",",".")</f>
        <v/>
      </c>
      <c r="D101" t="str">
        <f>SUBSTITUTE(MOD(ATAN2(AVERAGE(COS(RAW!E101*PI()/180),COS(RAW!F101*PI()/180)),AVERAGE(SIN(RAW!E101*PI()/180),SIN(RAW!F101*PI()/180)))*180/PI(),360),",",".")</f>
        <v>0</v>
      </c>
      <c r="E101" t="str">
        <f>SUBSTITUTE(RAW!C101,",",".")</f>
        <v/>
      </c>
      <c r="F101" t="str">
        <f>SUBSTITUTE(RAW!D101,",",".")</f>
        <v/>
      </c>
      <c r="G101" s="1" t="s">
        <v>22</v>
      </c>
      <c r="H101" t="str">
        <f>CONCATENATE("; ",RAW!P101)</f>
        <v xml:space="preserve">; </v>
      </c>
    </row>
    <row r="102" spans="1:8" x14ac:dyDescent="0.2">
      <c r="A102" s="1" t="s">
        <v>119</v>
      </c>
      <c r="B102" s="1" t="s">
        <v>120</v>
      </c>
      <c r="C102" t="str">
        <f>SUBSTITUTE(RAW!B102,",",".")</f>
        <v/>
      </c>
      <c r="D102" t="str">
        <f>SUBSTITUTE(MOD(ATAN2(AVERAGE(COS(RAW!E102*PI()/180),COS(RAW!F102*PI()/180)),AVERAGE(SIN(RAW!E102*PI()/180),SIN(RAW!F102*PI()/180)))*180/PI(),360),",",".")</f>
        <v>0</v>
      </c>
      <c r="E102" t="str">
        <f>SUBSTITUTE(RAW!C102,",",".")</f>
        <v/>
      </c>
      <c r="F102" t="str">
        <f>SUBSTITUTE(RAW!D102,",",".")</f>
        <v/>
      </c>
      <c r="G102" s="1" t="s">
        <v>22</v>
      </c>
      <c r="H102" t="str">
        <f>CONCATENATE("; ",RAW!P102)</f>
        <v xml:space="preserve">; </v>
      </c>
    </row>
    <row r="103" spans="1:8" x14ac:dyDescent="0.2">
      <c r="A103" s="1" t="s">
        <v>120</v>
      </c>
      <c r="B103" s="1" t="s">
        <v>121</v>
      </c>
      <c r="C103" t="str">
        <f>SUBSTITUTE(RAW!B103,",",".")</f>
        <v/>
      </c>
      <c r="D103" t="str">
        <f>SUBSTITUTE(MOD(ATAN2(AVERAGE(COS(RAW!E103*PI()/180),COS(RAW!F103*PI()/180)),AVERAGE(SIN(RAW!E103*PI()/180),SIN(RAW!F103*PI()/180)))*180/PI(),360),",",".")</f>
        <v>0</v>
      </c>
      <c r="E103" t="str">
        <f>SUBSTITUTE(RAW!C103,",",".")</f>
        <v/>
      </c>
      <c r="F103" t="str">
        <f>SUBSTITUTE(RAW!D103,",",".")</f>
        <v/>
      </c>
      <c r="G103" s="1" t="s">
        <v>22</v>
      </c>
      <c r="H103" t="str">
        <f>CONCATENATE("; ",RAW!P103)</f>
        <v xml:space="preserve">; </v>
      </c>
    </row>
    <row r="104" spans="1:8" x14ac:dyDescent="0.2">
      <c r="A104" s="1" t="s">
        <v>121</v>
      </c>
      <c r="B104" s="1" t="s">
        <v>122</v>
      </c>
      <c r="C104" t="str">
        <f>SUBSTITUTE(RAW!B104,",",".")</f>
        <v/>
      </c>
      <c r="D104" t="str">
        <f>SUBSTITUTE(MOD(ATAN2(AVERAGE(COS(RAW!E104*PI()/180),COS(RAW!F104*PI()/180)),AVERAGE(SIN(RAW!E104*PI()/180),SIN(RAW!F104*PI()/180)))*180/PI(),360),",",".")</f>
        <v>0</v>
      </c>
      <c r="E104" t="str">
        <f>SUBSTITUTE(RAW!C104,",",".")</f>
        <v/>
      </c>
      <c r="F104" t="str">
        <f>SUBSTITUTE(RAW!D104,",",".")</f>
        <v/>
      </c>
      <c r="G104" s="1" t="s">
        <v>22</v>
      </c>
      <c r="H104" t="str">
        <f>CONCATENATE("; ",RAW!P104)</f>
        <v xml:space="preserve">;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Walls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2026-05-02T07:05:52Z</dcterms:modified>
</cp:coreProperties>
</file>